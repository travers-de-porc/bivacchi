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Été" sheetId="1" r:id="rId5"/>
    <sheet state="visible" name="Automne" sheetId="2" r:id="rId6"/>
    <sheet state="visible" name="Hiver" sheetId="3" r:id="rId7"/>
    <sheet state="visible" name="Printemps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">
      <text>
        <t xml:space="preserve">Probabilité indicative de trouver la cabane vide, sur 5 : 1 = forte fréquentation ; 5 = fortes chances d'être seul. Estimation relative (isolement, fréquentation, difficulté d'accès et saison), non issue de réservations.</t>
      </text>
    </comment>
    <comment authorId="0" ref="P1">
      <text>
        <t xml:space="preserve">Rating affiché : entier sur 5, calculé depuis la colonne masquée « Score global précis ». Celle-ci contient le calcul pondéré à deux décimales, intégrant l'isolement, la probabilité d'être seul, le trajet, l'attrait et la pénalité du risque.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1">
      <text>
        <t xml:space="preserve">Rating affiché : entier sur 5, calculé depuis la colonne masquée « Score global précis ». Celle-ci contient le calcul pondéré à deux décimales, intégrant l'isolement, la probabilité d'être seul, le trajet, l'attrait et la pénalité du risque.</t>
      </text>
    </comment>
    <comment authorId="0" ref="S1">
      <text>
        <t xml:space="preserve">Score structurel du risque hivernal (avalanche, terrain exposé, obstacles) : 1 = faible, 2 = modéré, 3 = modéré à élevé, 4 = élevé, 5 = très élevé. Ne représente pas le BERA du jour.</t>
      </text>
    </comment>
    <comment authorId="0" ref="O1">
      <text>
        <t xml:space="preserve">Probabilité indicative de trouver la cabane vide, sur 5 : 1 = forte fréquentation ; 5 = fortes chances d'être seul. Estimation relative (isolement, fréquentation, difficulté d'accès et saison), non issue de réservations.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">
      <text>
        <t xml:space="preserve">Score structurel du risque hivernal (avalanche, terrain exposé, obstacles) : 1 = faible, 2 = modéré, 3 = modéré à élevé, 4 = élevé, 5 = très élevé. Ne représente pas le BERA du jour.</t>
      </text>
    </comment>
    <comment authorId="0" ref="M1">
      <text>
        <t xml:space="preserve">Probabilité indicative de trouver la cabane vide, sur 5 : 1 = forte fréquentation ; 5 = fortes chances d'être seul. Estimation relative (isolement, fréquentation, difficulté d'accès et saison), non issue de réservations.</t>
      </text>
    </comment>
    <comment authorId="0" ref="P1">
      <text>
        <t xml:space="preserve">Rating affiché : entier sur 5, calculé depuis la colonne masquée « Score global précis ». Celle-ci contient le calcul pondéré à deux décimales, intégrant l'isolement, la probabilité d'être seul, le trajet, l'attrait et la pénalité du risque.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1">
      <text>
        <t xml:space="preserve">Rating affiché : entier sur 5, calculé depuis la colonne masquée « Score global précis ». Celle-ci contient le calcul pondéré à deux décimales, intégrant l'isolement, la probabilité d'être seul, le trajet, l'attrait et la pénalité du risque.</t>
      </text>
    </comment>
    <comment authorId="0" ref="S1">
      <text>
        <t xml:space="preserve">Score structurel du risque hivernal (avalanche, terrain exposé, obstacles) : 1 = faible, 2 = modéré, 3 = modéré à élevé, 4 = élevé, 5 = très élevé. Ne représente pas le BERA du jour.</t>
      </text>
    </comment>
    <comment authorId="0" ref="O1">
      <text>
        <t xml:space="preserve">Probabilité indicative de trouver la cabane vide, sur 5 : 1 = forte fréquentation ; 5 = fortes chances d'être seul. Estimation relative (isolement, fréquentation, difficulté d'accès et saison), non issue de réservations.</t>
      </text>
    </comment>
  </commentList>
</comments>
</file>

<file path=xl/sharedStrings.xml><?xml version="1.0" encoding="utf-8"?>
<sst xmlns="http://schemas.openxmlformats.org/spreadsheetml/2006/main" count="1578" uniqueCount="434">
  <si>
    <t>État</t>
  </si>
  <si>
    <t>Cabane / lieu</t>
  </si>
  <si>
    <t>Photo</t>
  </si>
  <si>
    <t>Secteur</t>
  </si>
  <si>
    <t>Alt. cabane (m)</t>
  </si>
  <si>
    <t>Départ été</t>
  </si>
  <si>
    <t>Altitude départ été (m)</t>
  </si>
  <si>
    <t>Trajet voiture</t>
  </si>
  <si>
    <t>Montée (h) ≈</t>
  </si>
  <si>
    <t>D+ (m) ≈</t>
  </si>
  <si>
    <t>Classement saison /5</t>
  </si>
  <si>
    <t>Isolement /5</t>
  </si>
  <si>
    <t>Probabilité d'être seul /5</t>
  </si>
  <si>
    <t>Ambiance /5</t>
  </si>
  <si>
    <t>Vue /5</t>
  </si>
  <si>
    <t>Rating global /5</t>
  </si>
  <si>
    <t>Coup de cœur</t>
  </si>
  <si>
    <t>Description</t>
  </si>
  <si>
    <t>Fiche officielle</t>
  </si>
  <si>
    <t>Google Maps</t>
  </si>
  <si>
    <t>Photos / galerie</t>
  </si>
  <si>
    <t>Source altitude / accès</t>
  </si>
  <si>
    <t>Fiabilité des données</t>
  </si>
  <si>
    <t>Notes originales</t>
  </si>
  <si>
    <t>Score global précis</t>
  </si>
  <si>
    <t>À faire</t>
  </si>
  <si>
    <t>Bivouac au Col de la Dent Blanche CAS</t>
  </si>
  <si>
    <t>Valais · Hérens</t>
  </si>
  <si>
    <t>Arolla / Ferpècle (Evolène)</t>
  </si>
  <si>
    <t>4h45</t>
  </si>
  <si>
    <t>Sur le col de la Dent Blanche</t>
  </si>
  <si>
    <t>Minuscule abri de pierre au cœur des 4000 valaisans ; approche de haute montagne.</t>
  </si>
  <si>
    <t>Source + estimation</t>
  </si>
  <si>
    <t>Arbenbiwak SAC</t>
  </si>
  <si>
    <t>Valais · Zermatt</t>
  </si>
  <si>
    <t>Zermatt via Zmutt (Zermatt)</t>
  </si>
  <si>
    <t>5h15</t>
  </si>
  <si>
    <t>Face nord du Cervin</t>
  </si>
  <si>
    <t>Bivouac de pierre face au Matterhorn et sous l'Ober Gabelhorn.</t>
  </si>
  <si>
    <t>Stockhornbiwak SAC</t>
  </si>
  <si>
    <t>Valais · Baltschiedertal</t>
  </si>
  <si>
    <t>Ausserberg (Visp)</t>
  </si>
  <si>
    <t>Capsule spatiale isolée</t>
  </si>
  <si>
    <t>Architecture originale, panorama Weissmies–Weisshorn et accès T5 depuis la vallée.</t>
  </si>
  <si>
    <t>Capanna Luigina Resegotti</t>
  </si>
  <si>
    <t>Piémont · Monte Rosa</t>
  </si>
  <si>
    <t>Wold / Alagna Valsesia (Alagna Valsesia)</t>
  </si>
  <si>
    <t>5h00</t>
  </si>
  <si>
    <t>Immersion très haute montagne</t>
  </si>
  <si>
    <t>Cabane spectaculaire et très engagée sous le Monte Rosa ; Barba Ferrero peut fractionner la montée.</t>
  </si>
  <si>
    <t>Estimation à valider</t>
  </si>
  <si>
    <t>3624m. Départ Wold (Alagna). 2400m D+.
Cabanne intermédiaire Barba Ferrero.</t>
  </si>
  <si>
    <t>Schalijochbiwak SAC</t>
  </si>
  <si>
    <t>Valais · Weisshorn</t>
  </si>
  <si>
    <t>Weisshornhütte / Zinal (Zinal)</t>
  </si>
  <si>
    <t>Bivouac alpin d'exception</t>
  </si>
  <si>
    <t>Refuge mythique du Schaligrat : accès long et alpin, peu fréquenté par les marcheurs.</t>
  </si>
  <si>
    <t>Bivacco Matteo Corradini</t>
  </si>
  <si>
    <t>Piémont · Val de Suse</t>
  </si>
  <si>
    <t>Rhuilles (Val Thuras) (Cesana Torinese)</t>
  </si>
  <si>
    <t>3h15</t>
  </si>
  <si>
    <t>Boîte noire et immense vitre</t>
  </si>
  <si>
    <t>Microarchitecture moderne avec ouverture panoramique ; réserver à l'avance semble compliqué.</t>
  </si>
  <si>
    <t>Cotation ski estimée, sans vérification d'un itinéraire C2C exact.</t>
  </si>
  <si>
    <t>rifugio Vittorio Raffaele Leonesi</t>
  </si>
  <si>
    <t>Piémont · Grand Paradis</t>
  </si>
  <si>
    <t>Ceresole Reale / Piantonetto (Ceresole Reale)</t>
  </si>
  <si>
    <t>3h30</t>
  </si>
  <si>
    <t>Haute vallée sans foule</t>
  </si>
  <si>
    <t>Refuge perché en terrain d'alpinisme sous les reliefs du Grand Paradis.</t>
  </si>
  <si>
    <t>2900m</t>
  </si>
  <si>
    <t>Bivacco Ivrea</t>
  </si>
  <si>
    <t>Noasca / vallon de Noaschetta (Noasca)</t>
  </si>
  <si>
    <t>3h35</t>
  </si>
  <si>
    <t>Vallon sauvage du Grand Paradis</t>
  </si>
  <si>
    <t>Petite boîte jaune dans l'univers minéral de la Noaschetta ; longue approche hors des grands axes.</t>
  </si>
  <si>
    <t>Refuge des Bouquetins CAS</t>
  </si>
  <si>
    <t>Arolla / Haut Glacier (Evolène)</t>
  </si>
  <si>
    <t>Massif du Mont Collon</t>
  </si>
  <si>
    <t>Bivouac sous les sommets glaciaires du haut val d'Hérens, grande solitude.</t>
  </si>
  <si>
    <t>https://www.sac-cas.ch/fr/cabanes-et-courses/portail-des-courses-du-cas/refuge-des-bouquetins-cas-2147000041/</t>
  </si>
  <si>
    <t>Altitude vérifiée ; accès saisonniers indicatifs</t>
  </si>
  <si>
    <t>Cotation ski estimée, sans vérification d'un itinéraire C2C exact.
Travaux / reconstruction signalés en 2026.</t>
  </si>
  <si>
    <t>Rifugio Carmagnola (Bivacco)</t>
  </si>
  <si>
    <t>Piémont · Val Maira / Traversiera</t>
  </si>
  <si>
    <t>Madonna delle Grazie (Traversiera) (Acceglio)</t>
  </si>
  <si>
    <t>2h55</t>
  </si>
  <si>
    <t>Très haute montagne du Piémont</t>
  </si>
  <si>
    <t>Bivouac rustique proche des grands cols frontaliers.</t>
  </si>
  <si>
    <t>https://www.vallemaira.org/strutture/bivacco-carmagnola/</t>
  </si>
  <si>
    <t>Cotation ski estimée, sans vérification d'un itinéraire C2C exact.
Approche estivale officielle depuis Madonna delle Grazie (~2000 m), environ 2 h 30 / 840 m D+. Départ hivernal indicatif plus bas dans la vallée.</t>
  </si>
  <si>
    <t>Bivacco Città di Varese</t>
  </si>
  <si>
    <t>Piémont · Valle Antrona</t>
  </si>
  <si>
    <t>Cheggio / Alpe Andolla (Antrona Schieranco)</t>
  </si>
  <si>
    <t>4h50</t>
  </si>
  <si>
    <t>Solitude minérale</t>
  </si>
  <si>
    <t>Bivouac au-dessus du val d'Antrona, dans un environnement rocheux plus alpin que Camposecco.</t>
  </si>
  <si>
    <t>Bivacco Carpano</t>
  </si>
  <si>
    <t>Lago Teleccio / Pontese (Locana)</t>
  </si>
  <si>
    <t>3h25</t>
  </si>
  <si>
    <t>Vallon du Piantonetto</t>
  </si>
  <si>
    <t>Bivouac de haute montagne dans un secteur austère aux grandes parois de granit.</t>
  </si>
  <si>
    <t>Bivouac Fanton</t>
  </si>
  <si>
    <t>Vénétie · Dolomites</t>
  </si>
  <si>
    <t>Auronzo / Val Da Rin (Auronzo di Cadore)</t>
  </si>
  <si>
    <t>6h35</t>
  </si>
  <si>
    <t>Baie vitrée magistrale</t>
  </si>
  <si>
    <t>Bivouac contemporain en forme de long viseur orienté sur les Dolomites du Cadore.</t>
  </si>
  <si>
    <t>Refuge des Grands Mulets</t>
  </si>
  <si>
    <t>Haute-Savoie · Mont-Blanc</t>
  </si>
  <si>
    <t>Plan de l'Aiguille / glaciers (Chamonix)</t>
  </si>
  <si>
    <t>3h40</t>
  </si>
  <si>
    <t>Refuge sur rocher au milieu des glaciers</t>
  </si>
  <si>
    <t>Spectaculaire accès glaciaire au refuge des Grands Mulets, sur la voie historique du Mont-Blanc.</t>
  </si>
  <si>
    <t>https://www.camptocamp.org/waypoints/104120/fr/refuge-des-grands-mulets</t>
  </si>
  <si>
    <t>Cotation issue d'une course C2C passant par la cabane, pas de l'approche seule.</t>
  </si>
  <si>
    <t>Capanna Punta Penia</t>
  </si>
  <si>
    <t>Trentin · Dolomites / Marmolada</t>
  </si>
  <si>
    <t>Val Contrin (Canazei)</t>
  </si>
  <si>
    <t>6h00</t>
  </si>
  <si>
    <t>Dormir sur la Marmolada</t>
  </si>
  <si>
    <t>Cabane au sommet de la Punta Penia ; vraie course alpine depuis Contrin.</t>
  </si>
  <si>
    <t>3343m
Accès depuis Contrin</t>
  </si>
  <si>
    <t>Bivacco Sommeiller</t>
  </si>
  <si>
    <t>Rifugio Scarfiotti / Rochemolles (Bardonecchia)</t>
  </si>
  <si>
    <t>3h10</t>
  </si>
  <si>
    <t>Bivouac de haute altitude</t>
  </si>
  <si>
    <t>Ambiance pierreuse en altitude, loin des fonds de vallées.</t>
  </si>
  <si>
    <t>https://sleep-point.com/fr/refuge/bivouac-du-col-sommeiller</t>
  </si>
  <si>
    <t>Bivacco Rivolta</t>
  </si>
  <si>
    <t>Val d’Aoste · Cervin</t>
  </si>
  <si>
    <t>Cervinia / Lago di Cignana (Valtournenche)</t>
  </si>
  <si>
    <t>3h45</t>
  </si>
  <si>
    <t>Lac et rochers du Cervin</t>
  </si>
  <si>
    <t>Bivouac en environnement austère, avec vue sur la haute Valtournenche.</t>
  </si>
  <si>
    <t>2906m</t>
  </si>
  <si>
    <t>Bivacco Passera all’Alta Luce</t>
  </si>
  <si>
    <t>Val d’Aoste · Gressoney / Alta Luce</t>
  </si>
  <si>
    <t>Gabiet (remontées) / Stafal (Gressoney-La-Trinité)</t>
  </si>
  <si>
    <t>4h00</t>
  </si>
  <si>
    <t>Lumière sur le Rosa</t>
  </si>
  <si>
    <t>Abri perché vers l'Alta Luce, dominant les bassins glaciaires du Monte Rosa.</t>
  </si>
  <si>
    <t>https://comune.gressoneylatrinite.ao.it/it-it/novita/avvisi</t>
  </si>
  <si>
    <t>Réservation communale annoncée en 2026.</t>
  </si>
  <si>
    <t>Cabane de Bertol CAS</t>
  </si>
  <si>
    <t>Valais · Arolla</t>
  </si>
  <si>
    <t>Arolla (Evolène)</t>
  </si>
  <si>
    <t>Cabane en équilibre au-dessus du vide</t>
  </si>
  <si>
    <t>Refuge très photogénique planté sur un rognon rocheux et accessible par échelles.</t>
  </si>
  <si>
    <t>https://www.camptocamp.org/routes/48819/fr/tete-blanche-val-d-herens-par-bertol</t>
  </si>
  <si>
    <t>Rifugio Chiarella Amiante</t>
  </si>
  <si>
    <t>Val d’Aoste · Valpelline</t>
  </si>
  <si>
    <t>Glacier (Ollomont)</t>
  </si>
  <si>
    <t>3h50</t>
  </si>
  <si>
    <t>Balcon du Grand Combin</t>
  </si>
  <si>
    <t>Refuge haut perché avec bref passage équipé terminal ; ancien abri hivernal.</t>
  </si>
  <si>
    <t>2979m</t>
  </si>
  <si>
    <t>Bivacco Antigine</t>
  </si>
  <si>
    <t>Lac de Campliccioli (Antrona Schieranco)</t>
  </si>
  <si>
    <t>Entre Italie et Suisse</t>
  </si>
  <si>
    <t>Petit abri près du Passo Antigine, au-dessus des barrages du secteur.</t>
  </si>
  <si>
    <t>Refuge Bivouac de Chalance</t>
  </si>
  <si>
    <t>Hautes-Alpes · Écrins</t>
  </si>
  <si>
    <t>Rif du Sap (La Chapelle-en-Valgaudémar)</t>
  </si>
  <si>
    <t>Bivouac suspendu</t>
  </si>
  <si>
    <t>Refuge-bivouac engagé dans les montagnes sauvages du Valgaudemar.</t>
  </si>
  <si>
    <t>https://ecrins.alpes-refuges.fr/fiche-hebergement-refuge-de-chalance-ffcam-R0500chl.html</t>
  </si>
  <si>
    <t>Bivacco Walter Blais</t>
  </si>
  <si>
    <t>Piémont · Val de Suse / Col d’Ambin</t>
  </si>
  <si>
    <t>Grange della Valle (Exilles)</t>
  </si>
  <si>
    <t>3h05</t>
  </si>
  <si>
    <t>Hors des circuits classiques</t>
  </si>
  <si>
    <t>Bivouac isolé des Alpes italiennes, à documenter pour un projet précis.</t>
  </si>
  <si>
    <t>https://www.caisusa.it/joomla/rifugi-e-bivacchi/16-bivacco-walter-blais</t>
  </si>
  <si>
    <t>Rifugio Monzino</t>
  </si>
  <si>
    <t>Val d’Aoste · Mont-Blanc</t>
  </si>
  <si>
    <t>Val Vény / Frêney (Courmayeur)</t>
  </si>
  <si>
    <t>Vue massive sur le Frêney</t>
  </si>
  <si>
    <t>Accès original par plusieurs sections de via ferrata ; cabane spectaculaire sous le Mont-Blanc.</t>
  </si>
  <si>
    <t>Refuge des Dents du Midi</t>
  </si>
  <si>
    <t>Valais · Dents du Midi</t>
  </si>
  <si>
    <t>Mex / Champéry (Saint-Maurice)</t>
  </si>
  <si>
    <t>4h25</t>
  </si>
  <si>
    <t>Massif des Dents du Midi</t>
  </si>
  <si>
    <t>Refuge panoramique sous les parois des Dents du Midi.</t>
  </si>
  <si>
    <t>Bivacco Penne Nere</t>
  </si>
  <si>
    <t>Val d’Aoste · Aoste</t>
  </si>
  <si>
    <t>Blavy (Aoste)</t>
  </si>
  <si>
    <t>Balcon sur la vallée d'Aoste</t>
  </si>
  <si>
    <t>Bivouac d'altitude facilement transformable en sortie panoramique sur deux jours.</t>
  </si>
  <si>
    <t>2730m
Départ blavy 3h
Cotation ski estimée, sans vérification d'un itinéraire C2C exact.</t>
  </si>
  <si>
    <t>Mischabelhütte AACZ</t>
  </si>
  <si>
    <t>Valais · Saas-Fee</t>
  </si>
  <si>
    <t>Saas-Fee / Hannig (Saas-Fee)</t>
  </si>
  <si>
    <t>Refuge sur arête vertigineuse</t>
  </si>
  <si>
    <t>Ascension raide avec câbles et échelles ; balcon impressionnant sur les Mischabel.</t>
  </si>
  <si>
    <t>Bivacco Fiorio</t>
  </si>
  <si>
    <t>Arnouva, Val Ferret (Courmayeur)</t>
  </si>
  <si>
    <t>Massif du Dolent</t>
  </si>
  <si>
    <t>Bivouac près du versant italien du Dolent, avec ambiance alpine.</t>
  </si>
  <si>
    <t>https://www.sac-cas.ch/fr/cabanes-et-courses/portail-des-courses-du-cas/bivacco-cesare-fiorio-caai-2147436061/</t>
  </si>
  <si>
    <t>Bivouac du Dolent CAS</t>
  </si>
  <si>
    <t>Valais · La Fouly</t>
  </si>
  <si>
    <t>La Fouly (Orsières)</t>
  </si>
  <si>
    <t>4h10</t>
  </si>
  <si>
    <t>Bivouac orange panoramique</t>
  </si>
  <si>
    <t>Abri à la silhouette orange très reconnaissable, près du massif du Mont Dolent.</t>
  </si>
  <si>
    <t>Cabane de Valsorey CAS</t>
  </si>
  <si>
    <t>Valais · Grand Combin</t>
  </si>
  <si>
    <t>Bourg-Saint-Pierre</t>
  </si>
  <si>
    <t>4h15</t>
  </si>
  <si>
    <t>Couchers de soleil Grand Combin</t>
  </si>
  <si>
    <t>Refuge rustique et panoramique sur la Haute Route, au pied du Grand Combin.</t>
  </si>
  <si>
    <t>Cotation ski estimée, sans vérification d'un itinéraire C2C exact.
C2C : 2.3 pour la traversée Hospice du Grand-Saint-Bernard → Cabane de Valsorey ; autre trajet que Bourg-Saint-Pierre. Ne pas confondre avec le Grand Combin 4.1.</t>
  </si>
  <si>
    <t>Bivacco Ulrich Lateltin</t>
  </si>
  <si>
    <t>Val d’Aoste · Monte Rosa</t>
  </si>
  <si>
    <t>Champoluc ou Gressoney (Champoluc)</t>
  </si>
  <si>
    <t>3h55</t>
  </si>
  <si>
    <t>Crête panoramique</t>
  </si>
  <si>
    <t>Grand bivouac sur l'arête entre Monte Pinter et Testa Grigia ; panorama exceptionnel.</t>
  </si>
  <si>
    <t>Baltschiederklause SAC</t>
  </si>
  <si>
    <t>Vallée immense et sauvage</t>
  </si>
  <si>
    <t>Longue marche dans le Baltschiedertal jusqu'à une cabane traditionnelle au pied du Bietschhorn.</t>
  </si>
  <si>
    <t>Bivacco Elio Bonfante alle Camoscere</t>
  </si>
  <si>
    <t>Piémont · Val Varaita</t>
  </si>
  <si>
    <t>Chianale / Lago delle Camoscere (Pontechianale)</t>
  </si>
  <si>
    <t>2h50</t>
  </si>
  <si>
    <t>Lac des Camoscere</t>
  </si>
  <si>
    <t>Petit bivouac rustique au-dessus du haut Val Varaita, près d'un lac.</t>
  </si>
  <si>
    <t>2634m
Cotation ski estimée, sans vérification d'un itinéraire C2C exact.</t>
  </si>
  <si>
    <t>Bivacco Salvasera</t>
  </si>
  <si>
    <t>Queyras · Collet du Pelvas</t>
  </si>
  <si>
    <t>La Monta / Villanova (Abriès-Ristolas)</t>
  </si>
  <si>
    <t>Vallon discret du Piémont</t>
  </si>
  <si>
    <t>Petit bivouac en environnement minéral, dont l'itinéraire reste à préciser.</t>
  </si>
  <si>
    <t>https://www.bivouak.net/refuges/refuge-625-bivacco-salvasera.html</t>
  </si>
  <si>
    <t>Bivacco Reboulaz</t>
  </si>
  <si>
    <t>Val d’Aoste · Nus / Lac Luseney</t>
  </si>
  <si>
    <t>Praz / Porliod, Saint-Barthélemy (Nus)</t>
  </si>
  <si>
    <t>Vallons sauvages</t>
  </si>
  <si>
    <t>Bivouac discret, intéressant pour s'éloigner des refuges gardés.</t>
  </si>
  <si>
    <t>https://www.lovevda.it/fr/base-de-donnees/7/bivouacs/nus/bivouac-reboulaz/2515</t>
  </si>
  <si>
    <t>Bivacco Regondi-Gavazzi</t>
  </si>
  <si>
    <t>Vallon solitaire d'Ollomont</t>
  </si>
  <si>
    <t>Depuis Glacier : environ 5 km et 1000 m D+ selon ta note.</t>
  </si>
  <si>
    <t>2595m
Départ glassier 1549m
5km-1000m D+
Cotation ski estimée, sans vérification d'un itinéraire C2C exact.</t>
  </si>
  <si>
    <t>Refuge Nacamuli au col Collon</t>
  </si>
  <si>
    <t>Place Moulin / Bionaz (Bionaz)</t>
  </si>
  <si>
    <t>Grand lac de Place Moulin</t>
  </si>
  <si>
    <t>Cabane d'altitude dans le vallon du Col Collon, vers la frontière suisse.</t>
  </si>
  <si>
    <t>2818m
Cotation ski estimée, sans vérification d'un itinéraire C2C exact.</t>
  </si>
  <si>
    <t>Bivacco Beltrando</t>
  </si>
  <si>
    <t>Piémont · Canavese / Punta Rama</t>
  </si>
  <si>
    <t>Alpe Losa, Frassinetto (Cuorgnè)</t>
  </si>
  <si>
    <t>0h00</t>
  </si>
  <si>
    <t>Sommet / point à identifier</t>
  </si>
  <si>
    <t>L'entrée Google Maps pointe vers Punta Rama et pas une cabane identifiable.</t>
  </si>
  <si>
    <t>https://www.comune.frassinetto.to.it/it-it/vivere-il-comune/itinerari/percorso-n-8-3-collegamento-alpe-losa-bivacco-punta-rama-56104-1-2b5c2ed1c89e6ed1e66e629d6c4515e6</t>
  </si>
  <si>
    <t>Accès EEA / passages équipés.</t>
  </si>
  <si>
    <t>Départ hiver</t>
  </si>
  <si>
    <t>Altitude départ hiver (m)</t>
  </si>
  <si>
    <t>Risque hiver</t>
  </si>
  <si>
    <t>Acceglio</t>
  </si>
  <si>
    <t>Rhuilles / Thuras (Cesana Torinese)</t>
  </si>
  <si>
    <t>Bivacco Camposecco</t>
  </si>
  <si>
    <t>Lac d’Antrona (Antrona Schieranco)</t>
  </si>
  <si>
    <t>Architecture + fenêtre panoramique</t>
  </si>
  <si>
    <t>Bivouac moderne aux grandes ouvertures et au bord d’un lac ; l'un des meilleurs candidats pour une nuit isolée.</t>
  </si>
  <si>
    <t>https://www.comune.antronaschieranco.vb.it/en-us/vivere-il-comune/dove-dormire/bivacco-di-camposecco-2335-mt-22297-1-0ac2aed745c001e0d35fae50ea76199c</t>
  </si>
  <si>
    <t>2350m.
Départ lac de Campliccioli (1350m) ou lac Antrona (1098m) si route enneigée.</t>
  </si>
  <si>
    <t>Le Casset (La Chapelle-en-Valgaudémar)</t>
  </si>
  <si>
    <t>Chianale (Pontechianale)</t>
  </si>
  <si>
    <t>Lignan / Saint-Barthélemy (Nus)</t>
  </si>
  <si>
    <t>Bivacco Menabreaz</t>
  </si>
  <si>
    <t>Val d’Aoste · Brissogne / Vallon de Laures</t>
  </si>
  <si>
    <t>Grand-Brissogne / Les Plantses (Brissogne)</t>
  </si>
  <si>
    <t>Lacs des Laures / Mont Émilius</t>
  </si>
  <si>
    <t>Ancienne maison de chasse en pierre au bord du lac inférieur des Laures ; longue approche depuis Brissogne.</t>
  </si>
  <si>
    <t>https://balteus.lovevda.it/fr/base-de-donnees/7/bivouacs/brissogne/bivouac-menabreaz/2510</t>
  </si>
  <si>
    <t>Cotation ski estimée, sans vérification d'un itinéraire C2C exact.
Correction : au lac des Laures (Brissogne), pas au Mont Avic. 4 h 30 depuis Les Plantses. Depuis le 01/11/2025, le sentier n°1 est fermé au-delà de Fontane Nere (chutes de pierres) ; prendre le 1A. Source LoveVDA. D+ recalculé 1506 m.</t>
  </si>
  <si>
    <t>Ollomont</t>
  </si>
  <si>
    <t>Bionaz (Place-Moulin fermé)</t>
  </si>
  <si>
    <t>Noasca</t>
  </si>
  <si>
    <t>Antrona / Cheggio selon route (Antrona Schieranco)</t>
  </si>
  <si>
    <t>Bivacco Varrone</t>
  </si>
  <si>
    <t>Piémont · Argentera</t>
  </si>
  <si>
    <t>Terme di Valdieri (Valdieri)</t>
  </si>
  <si>
    <t>Sant’Anna di Valdieri (Valdieri)</t>
  </si>
  <si>
    <t>2h20</t>
  </si>
  <si>
    <t>Vallon de Lourousa</t>
  </si>
  <si>
    <t>Abri isolé dans un grand vallon minéral du massif de l'Argentera.</t>
  </si>
  <si>
    <t>2235m
Cotation ski estimée, sans vérification d'un itinéraire C2C exact.</t>
  </si>
  <si>
    <t>Bivouac Luca Vuerich</t>
  </si>
  <si>
    <t>Frioul · Alpes juliennes</t>
  </si>
  <si>
    <t>Sella Nevea / Montasio (Chiusaforte)</t>
  </si>
  <si>
    <t>Sella Nevea (Chiusaforte)</t>
  </si>
  <si>
    <t>7h20</t>
  </si>
  <si>
    <t>Petit chalet triangulaire sur sommet</t>
  </si>
  <si>
    <t>Architecture en bois remarquable sur une crête rocheuse des Alpes juliennes ; loin d'Antibes.</t>
  </si>
  <si>
    <t>Stafal / Gabiet selon remontées (Gressoney-La-Trinité)</t>
  </si>
  <si>
    <t>Arpuilles (Aoste)</t>
  </si>
  <si>
    <t>Bivacco Tzan</t>
  </si>
  <si>
    <t>Val d’Aoste · Torgnon</t>
  </si>
  <si>
    <t>Torgnon / remontée Collet (Torgnon)</t>
  </si>
  <si>
    <t>Torgnon</t>
  </si>
  <si>
    <t>Lac de Tzan</t>
  </si>
  <si>
    <t>Bivouac métallique dans une vallée d'alpages ; accès raccourci en saison via remontée.</t>
  </si>
  <si>
    <t>2482m
Départ Torgnon (remontée Collet)
Avec remontée (45€): 7km 400m D+
Sans remontée: 12km 1000m D+
Cotation ski estimée, sans vérification d'un itinéraire C2C exact.</t>
  </si>
  <si>
    <t>Planpincieux (Val Ferret fermé) (Courmayeur)</t>
  </si>
  <si>
    <t>Breuil-Cervinia (Valtournenche)</t>
  </si>
  <si>
    <t>Bivacco Bonelli</t>
  </si>
  <si>
    <t>Chianale / Val Varaita (Pontechianale)</t>
  </si>
  <si>
    <t>Bivouac pratique et accueillant</t>
  </si>
  <si>
    <t>Refuge non gardé relativement bien équipé, bon candidat pour une nuit simple.</t>
  </si>
  <si>
    <t>Locana / route du Teleccio (Locana)</t>
  </si>
  <si>
    <t>Noasca (Ceresole Reale)</t>
  </si>
  <si>
    <t>Refuge du Pigeonnier</t>
  </si>
  <si>
    <t>Gioberney / Valgaudemar (La Chapelle-en-Valgaudémar)</t>
  </si>
  <si>
    <t>La Chapelle-en-Valgaudemar (La Chapelle-en-Valgaudémar)</t>
  </si>
  <si>
    <t>Panorama des Écrins</t>
  </si>
  <si>
    <t>Refuge du Valgaudemar avec vue ouverte sur les sommets et glaciers environnants.</t>
  </si>
  <si>
    <t>La Monta (Queyras) (Abriès-Ristolas)</t>
  </si>
  <si>
    <t>Bivacco Farello</t>
  </si>
  <si>
    <t>Piémont · Alpe Veglia / Ossola</t>
  </si>
  <si>
    <t>Ponte Campo, Alpe Veglia (Varzo)</t>
  </si>
  <si>
    <t>Ponte Campo (accès neigeux) (Varzo)</t>
  </si>
  <si>
    <t>Grand isolement</t>
  </si>
  <si>
    <t>Bivouac discret des Alpes lépontines ; itinéraire d'accès à préciser avant de planifier.</t>
  </si>
  <si>
    <t>https://www.caivarese.it/evento/bivacco-farello-da-ponte-campo-san-domenico-vb/</t>
  </si>
  <si>
    <t>Bivacco Farello neuf 2447 m (différent de l'ancien refuge à 2750 m).</t>
  </si>
  <si>
    <t>Laggin Biwak</t>
  </si>
  <si>
    <t>Valais · Simplon</t>
  </si>
  <si>
    <t>Simplon Dorf (Simplon)</t>
  </si>
  <si>
    <t>5h05</t>
  </si>
  <si>
    <t>Bivouac compact au Simplon</t>
  </si>
  <si>
    <t>Petit abri perché au pied des grands sommets du secteur Lagginhorn–Fletschhorn.</t>
  </si>
  <si>
    <t>Exilles (Granges fermé)</t>
  </si>
  <si>
    <t>Mex (Saint-Maurice)</t>
  </si>
  <si>
    <t>Auronzo (Auronzo di Cadore)</t>
  </si>
  <si>
    <t>Rochemolles (Bardonecchia)</t>
  </si>
  <si>
    <t>Champoluc</t>
  </si>
  <si>
    <t>Cabane du Fenestral</t>
  </si>
  <si>
    <t>Valais · Ovronnaz</t>
  </si>
  <si>
    <t>Ovronnaz / Jorasse (Ovronnaz)</t>
  </si>
  <si>
    <t>Ovronnaz</t>
  </si>
  <si>
    <t>4h30</t>
  </si>
  <si>
    <t>Grande baie vitrée sur le Mont-Blanc</t>
  </si>
  <si>
    <t>Cabane moderne, réfectoire lumineux derrière de vastes vitrages avec vue sur le massif du Mont-Blanc.</t>
  </si>
  <si>
    <t>Saas-Fee (remontées variables)</t>
  </si>
  <si>
    <t>Bivacco Mario Perona (Cima del Bosco)</t>
  </si>
  <si>
    <t>Bousson / Cima del Bosco (Cesana Torinese)</t>
  </si>
  <si>
    <t>Bousson (Cesana Torinese)</t>
  </si>
  <si>
    <t>Chalet triangulaire</t>
  </si>
  <si>
    <t>C'est le bivouac Mario Perona, sur la Cima del Bosco : petite architecture en A.</t>
  </si>
  <si>
    <t>Bivacco Mario Perona (2376m)
Cotation ski estimée, sans vérification d'un itinéraire C2C exact.</t>
  </si>
  <si>
    <t>Rifugio Alpetto</t>
  </si>
  <si>
    <t>Piémont · Monviso</t>
  </si>
  <si>
    <t>Pian del Re (Crissolo)</t>
  </si>
  <si>
    <t>Crissolo (Pian del Re fermé)</t>
  </si>
  <si>
    <t>Face nord du Viso</t>
  </si>
  <si>
    <t>Cabane historique en pierre au pied du Monviso ; local hivernal annoncé dans tes notes.</t>
  </si>
  <si>
    <t>Refuge hiver 8 places
Cotation ski estimée, sans vérification d'un itinéraire C2C exact.</t>
  </si>
  <si>
    <t>Cabane du berger de Chillol (coord.)</t>
  </si>
  <si>
    <t>Alpes-de-Haute-Provence · Ubaye</t>
  </si>
  <si>
    <t>La Blachière / Chillol (Saint-Paul-sur-Ubaye)</t>
  </si>
  <si>
    <t>La Blachière (passerelles détruites) (Saint-Paul-sur-Ubaye)</t>
  </si>
  <si>
    <t>2h45</t>
  </si>
  <si>
    <t>Cabane secrète</t>
  </si>
  <si>
    <t>« Cabane du berger de Chillol » : géolocalisation fournie, altitude et accès à confirmer.</t>
  </si>
  <si>
    <t>https://www.refuges.info/point/1960/cabane-non-gardee/cabane-du-berger-de-Chillol/</t>
  </si>
  <si>
    <t>Cabane du berger de chillol
Passerelles d'accès emportées fin 2025.</t>
  </si>
  <si>
    <t>Ferpècle (Evolène)</t>
  </si>
  <si>
    <t>Bivacco Aldo Frattini</t>
  </si>
  <si>
    <t>Lombardie · Orobie / Val Seriana</t>
  </si>
  <si>
    <t>Fiumenero (Valbondione)</t>
  </si>
  <si>
    <t>3h20</t>
  </si>
  <si>
    <t>Bivouac peu connu</t>
  </si>
  <si>
    <t>Cabane rustique au milieu de paysages alpins ; détails d'accès à confirmer.</t>
  </si>
  <si>
    <t>https://caibergamo.it/geoportale/rifugi-bivacchi/bivacco-aldo-frattini</t>
  </si>
  <si>
    <t>Zermatt</t>
  </si>
  <si>
    <t>Alba di Canazei (Canazei)</t>
  </si>
  <si>
    <t>Courmayeur (Val Vény fermé)</t>
  </si>
  <si>
    <t>Rifugio Mario Bezzi</t>
  </si>
  <si>
    <t>Val d’Aoste · Valgrisenche</t>
  </si>
  <si>
    <t>Valgrisenche / Usellières (Valgrisenche)</t>
  </si>
  <si>
    <t>Valgrisenche</t>
  </si>
  <si>
    <t>Valgrisenche verdoyante</t>
  </si>
  <si>
    <t>Refuge classique plus accessible, bien placé pour explorer le haut Valgrisenche.</t>
  </si>
  <si>
    <t>Plan de l’Aiguille (téléphérique) (Chamonix)</t>
  </si>
  <si>
    <t>Rifugio Fauniera</t>
  </si>
  <si>
    <t>Piémont · Valle Grana</t>
  </si>
  <si>
    <t>Col Fauniera (route) (Castelmagno)</t>
  </si>
  <si>
    <t>Santuario di Castelmagno (Castelmagno)</t>
  </si>
  <si>
    <t>2h25</t>
  </si>
  <si>
    <t>Accès très facile à altitude élevée</t>
  </si>
  <si>
    <t>Bonne étape photo au col ; faible isolement en période d'ouverture de la route.</t>
  </si>
  <si>
    <t>https://rifugiofauniera.it/</t>
  </si>
  <si>
    <t>Frassinetto (Cuorgnè)</t>
  </si>
  <si>
    <t>Bivacco Grivola</t>
  </si>
  <si>
    <t>Val d’Aoste · Valsavarenche / Grivola</t>
  </si>
  <si>
    <t>Eaux-Rousses (Valsavarenche)</t>
  </si>
  <si>
    <t>Sommet de la Grivola</t>
  </si>
  <si>
    <t>Entrée correspondant au sommet, pas à une cabane : identifier l'abri recherché.</t>
  </si>
  <si>
    <t>https://www.lovevda.it/it/banca-dati/7/bivacchi/valsavarenche/bivacco-grivola/2786</t>
  </si>
  <si>
    <t>Bivacco Franco Boerio</t>
  </si>
  <si>
    <t>Piémont · Val Varaita / Lago Mongioia</t>
  </si>
  <si>
    <t>Sant'Anna di Bellino (Bellino)</t>
  </si>
  <si>
    <t>Sant'Anna di Bellino (selon ouverture de route)</t>
  </si>
  <si>
    <t>Lac Mongioia à 3 084 m, paysage lunaire</t>
  </si>
  <si>
    <t>Bivouac octogonal perché près du lac Mongioia. 10 couchages avec matelas et couvertures ; aucun poêle, aucune cheminée, aucun chauffage.</t>
  </si>
  <si>
    <t>https://www.alpicuneesi.it/itinerari/vallevaraita/1502.htm</t>
  </si>
  <si>
    <t>Altitude et accès pédestre vérifiés ; trajet voiture indicatif</t>
  </si>
  <si>
    <t>Depuis Sant’Anna : U26 puis U67, ~7,46 km aller, D+ ~1 260 m et 3h40–4h10. Trajet voiture 3h15 estimé depuis Antibes d'après les voisins du Val Varaita, non vérifié. Accès routier en novembre variable. Pas de poêle ni chauffage ; un retour de février 2026 mentionne une température intérieure négative.</t>
  </si>
  <si>
    <t>Bivacco Luciano Gratton</t>
  </si>
  <si>
    <t>Val d’Aoste · Cogne / Colle del Pousset</t>
  </si>
  <si>
    <t>Cogne, sentier 25A via Les Ors Dessus</t>
  </si>
  <si>
    <t>Cogne (accès routier annuel à vérifier selon neige)</t>
  </si>
  <si>
    <t>Colle del Pousset, panorama Grivola / Grand Paradis</t>
  </si>
  <si>
    <t>Bivouac de haute montagne au Colle del Pousset, 9 couchages, toujours ouvert, matelas et couvertures. Poêle/chauffage non mentionnés sur la fiche officielle. Accès exigeant en novembre, risque neige/glace.</t>
  </si>
  <si>
    <t>https://www.lovevda.it/fr/base-de-donnees/7/randonnees-d-une-journee/cogne/cogne-bivouac-gratton/1194</t>
  </si>
  <si>
    <t>Altitude, accès, D+ et durée vérifiés (LoveVDA) ; voiture estimée</t>
  </si>
  <si>
    <t>Accès Cogne 25A → 25 → 25C → 26, 7,966 km aller, 5h10 et +1688 m, EE selon fiche bivouac. Le sentier 25 depuis Crétaz vers Les Ors Dessous est fermé (signalement août 2024) : ne pas emprunter cette variante. Durée voiture 5h00 approximative depuis Antibes, fondée sur Nice-Cogne ~4h47. Période recommandée officielle juillet-août ; risques hiver estimés.</t>
  </si>
  <si>
    <t>Difficulté ski (FR)</t>
  </si>
  <si>
    <t>Source cotation C2C</t>
  </si>
  <si>
    <t>~2.3</t>
  </si>
  <si>
    <t>~2.1</t>
  </si>
  <si>
    <t>~2.2</t>
  </si>
  <si>
    <t>~3.1</t>
  </si>
  <si>
    <t>2.3</t>
  </si>
  <si>
    <t>https://www.camptocamp.org/waypoints/302352/fr/col-du-grand-saint-bernard</t>
  </si>
  <si>
    <t>~1.3</t>
  </si>
  <si>
    <t>Non coté</t>
  </si>
  <si>
    <t>Non coté (BS)</t>
  </si>
  <si>
    <t>3.2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</si>
</sst>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b/>
      <color rgb="FF192633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8EDF2"/>
        <bgColor rgb="FFE8EDF2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 shrinkToFit="0" vertical="center" wrapText="1"/>
    </xf>
    <xf borderId="0" fillId="0" fontId="2" numFmtId="49" xfId="0" applyAlignment="1" applyFont="1" applyNumberForma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2" xfId="0" applyAlignment="1" applyFont="1" applyNumberFormat="1">
      <alignment horizontal="left" shrinkToFit="0" vertical="center" wrapText="1"/>
    </xf>
    <xf borderId="0" fillId="0" fontId="3" numFmtId="49" xfId="0" applyAlignment="1" applyFont="1" applyNumberFormat="1">
      <alignment shrinkToFit="0" vertical="center" wrapText="1"/>
    </xf>
    <xf borderId="0" fillId="0" fontId="2" numFmtId="2" xfId="0" applyFont="1" applyNumberFormat="1"/>
    <xf borderId="0" fillId="0" fontId="4" numFmtId="49" xfId="0" applyAlignment="1" applyFont="1" applyNumberFormat="1">
      <alignment readingOrder="0" shrinkToFit="0" vertical="center" wrapText="1"/>
    </xf>
    <xf borderId="0" fillId="2" fontId="5" numFmtId="0" xfId="0" applyAlignment="1" applyFill="1" applyFont="1">
      <alignment readingOrder="0" shrinkToFit="0" vertical="center" wrapText="1"/>
    </xf>
    <xf borderId="0" fillId="0" fontId="2" numFmtId="2" xfId="0" applyAlignment="1" applyFont="1" applyNumberFormat="1">
      <alignment readingOrder="0" shrinkToFit="0" vertical="center" wrapText="1"/>
    </xf>
    <xf quotePrefix="1" borderId="0" fillId="0" fontId="2" numFmtId="49" xfId="0" applyAlignment="1" applyFont="1" applyNumberForma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E8EDF2"/>
          <bgColor rgb="FFE8EDF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7F9FC"/>
          <bgColor rgb="FFF7F9FC"/>
        </patternFill>
      </fill>
      <border/>
    </dxf>
    <dxf>
      <border>
        <left style="thin">
          <color rgb="FFE8EDF2"/>
        </left>
        <right style="thin">
          <color rgb="FFE8EDF2"/>
        </right>
        <top style="thin">
          <color rgb="FFE8EDF2"/>
        </top>
        <bottom style="thin">
          <color rgb="FFE8EDF2"/>
        </bottom>
      </border>
    </dxf>
  </dxfs>
  <tableStyles count="4">
    <tableStyle count="4" pivot="0" name="Été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tomn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iv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intemp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X39" displayName="BivaccoEte" name="BivaccoEte" id="1">
  <tableColumns count="24">
    <tableColumn name="État" id="1"/>
    <tableColumn name="Cabane / lieu" id="2"/>
    <tableColumn name="Photo" id="3"/>
    <tableColumn name="Secteur" id="4"/>
    <tableColumn name="Alt. cabane (m)" id="5"/>
    <tableColumn name="Départ été" id="6"/>
    <tableColumn name="Altitude départ été (m)" id="7"/>
    <tableColumn name="Trajet voiture" id="8"/>
    <tableColumn name="Montée (h) ≈" id="9"/>
    <tableColumn name="D+ (m) ≈" id="10"/>
    <tableColumn name="Classement saison /5" id="11"/>
    <tableColumn name="Isolement /5" id="12"/>
    <tableColumn name="Probabilité d'être seul /5" id="13"/>
    <tableColumn name="Ambiance /5" id="14"/>
    <tableColumn name="Vue /5" id="15"/>
    <tableColumn name="Rating global /5" id="16"/>
    <tableColumn name="Coup de cœur" id="17"/>
    <tableColumn name="Description" id="18"/>
    <tableColumn name="Fiche officielle" id="19"/>
    <tableColumn name="Google Maps" id="20"/>
    <tableColumn name="Photos / galerie" id="21"/>
    <tableColumn name="Source altitude / accès" id="22"/>
    <tableColumn name="Fiabilité des données" id="23"/>
    <tableColumn name="Notes originales" id="24"/>
  </tableColumns>
  <tableStyleInfo name="Été-style" showColumnStripes="0" showFirstColumn="1" showLastColumn="1" showRowStripes="1"/>
</table>
</file>

<file path=xl/tables/table2.xml><?xml version="1.0" encoding="utf-8"?>
<table xmlns="http://schemas.openxmlformats.org/spreadsheetml/2006/main" ref="A1:AA56" displayName="BivaccoAutomne" name="BivaccoAutomne" id="2">
  <tableColumns count="27">
    <tableColumn name="État" id="1"/>
    <tableColumn name="Cabane / lieu" id="2"/>
    <tableColumn name="Photo" id="3"/>
    <tableColumn name="Secteur" id="4"/>
    <tableColumn name="Alt. cabane (m)" id="5"/>
    <tableColumn name="Départ été" id="6"/>
    <tableColumn name="Altitude départ été (m)" id="7"/>
    <tableColumn name="Départ hiver" id="8"/>
    <tableColumn name="Altitude départ hiver (m)" id="9"/>
    <tableColumn name="Trajet voiture" id="10"/>
    <tableColumn name="Montée (h) ≈" id="11"/>
    <tableColumn name="D+ (m) ≈" id="12"/>
    <tableColumn name="Classement saison /5" id="13"/>
    <tableColumn name="Isolement /5" id="14"/>
    <tableColumn name="Probabilité d'être seul /5" id="15"/>
    <tableColumn name="Ambiance /5" id="16"/>
    <tableColumn name="Vue /5" id="17"/>
    <tableColumn name="Rating global /5" id="18"/>
    <tableColumn name="Risque hiver" id="19"/>
    <tableColumn name="Coup de cœur" id="20"/>
    <tableColumn name="Description" id="21"/>
    <tableColumn name="Fiche officielle" id="22"/>
    <tableColumn name="Google Maps" id="23"/>
    <tableColumn name="Photos / galerie" id="24"/>
    <tableColumn name="Source altitude / accès" id="25"/>
    <tableColumn name="Fiabilité des données" id="26"/>
    <tableColumn name="Notes originales" id="27"/>
  </tableColumns>
  <tableStyleInfo name="Automne-style" showColumnStripes="0" showFirstColumn="1" showLastColumn="1" showRowStripes="1"/>
</table>
</file>

<file path=xl/tables/table3.xml><?xml version="1.0" encoding="utf-8"?>
<table xmlns="http://schemas.openxmlformats.org/spreadsheetml/2006/main" ref="A1:AA19" displayName="BivaccoHiver" name="BivaccoHiver" id="3">
  <tableColumns count="27">
    <tableColumn name="État" id="1"/>
    <tableColumn name="Cabane / lieu" id="2"/>
    <tableColumn name="Photo" id="3"/>
    <tableColumn name="Secteur" id="4"/>
    <tableColumn name="Alt. cabane (m)" id="5"/>
    <tableColumn name="Départ hiver" id="6"/>
    <tableColumn name="Altitude départ hiver (m)" id="7"/>
    <tableColumn name="Trajet voiture" id="8"/>
    <tableColumn name="Montée (h) ≈" id="9"/>
    <tableColumn name="D+ (m) ≈" id="10"/>
    <tableColumn name="Classement saison /5" id="11"/>
    <tableColumn name="Isolement /5" id="12"/>
    <tableColumn name="Probabilité d'être seul /5" id="13"/>
    <tableColumn name="Ambiance /5" id="14"/>
    <tableColumn name="Vue /5" id="15"/>
    <tableColumn name="Rating global /5" id="16"/>
    <tableColumn name="Risque hiver" id="17"/>
    <tableColumn name="Difficulté ski (FR)" id="18"/>
    <tableColumn name="Coup de cœur" id="19"/>
    <tableColumn name="Description" id="20"/>
    <tableColumn name="Fiche officielle" id="21"/>
    <tableColumn name="Google Maps" id="22"/>
    <tableColumn name="Photos / galerie" id="23"/>
    <tableColumn name="Source altitude / accès" id="24"/>
    <tableColumn name="Source cotation C2C" id="25"/>
    <tableColumn name="Fiabilité des données" id="26"/>
    <tableColumn name="Notes originales" id="27"/>
  </tableColumns>
  <tableStyleInfo name="Hiver-style" showColumnStripes="0" showFirstColumn="1" showLastColumn="1" showRowStripes="1"/>
</table>
</file>

<file path=xl/tables/table4.xml><?xml version="1.0" encoding="utf-8"?>
<table xmlns="http://schemas.openxmlformats.org/spreadsheetml/2006/main" ref="A1:AC36" displayName="BivaccoPrintemps" name="BivaccoPrintemps" id="4">
  <tableColumns count="29">
    <tableColumn name="État" id="1"/>
    <tableColumn name="Cabane / lieu" id="2"/>
    <tableColumn name="Photo" id="3"/>
    <tableColumn name="Secteur" id="4"/>
    <tableColumn name="Alt. cabane (m)" id="5"/>
    <tableColumn name="Départ été" id="6"/>
    <tableColumn name="Altitude départ été (m)" id="7"/>
    <tableColumn name="Départ hiver" id="8"/>
    <tableColumn name="Altitude départ hiver (m)" id="9"/>
    <tableColumn name="Trajet voiture" id="10"/>
    <tableColumn name="Montée (h) ≈" id="11"/>
    <tableColumn name="D+ (m) ≈" id="12"/>
    <tableColumn name="Classement saison /5" id="13"/>
    <tableColumn name="Isolement /5" id="14"/>
    <tableColumn name="Probabilité d'être seul /5" id="15"/>
    <tableColumn name="Ambiance /5" id="16"/>
    <tableColumn name="Vue /5" id="17"/>
    <tableColumn name="Rating global /5" id="18"/>
    <tableColumn name="Risque hiver" id="19"/>
    <tableColumn name="Difficulté ski (FR)" id="20"/>
    <tableColumn name="Coup de cœur" id="21"/>
    <tableColumn name="Description" id="22"/>
    <tableColumn name="Fiche officielle" id="23"/>
    <tableColumn name="Google Maps" id="24"/>
    <tableColumn name="Photos / galerie" id="25"/>
    <tableColumn name="Source altitude / accès" id="26"/>
    <tableColumn name="Source cotation C2C" id="27"/>
    <tableColumn name="Fiabilité des données" id="28"/>
    <tableColumn name="Notes originales" id="29"/>
  </tableColumns>
  <tableStyleInfo name="Printemp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bivouak.net/refuges/refuge-625-bivacco-salvasera.html" TargetMode="External"/><Relationship Id="rId10" Type="http://schemas.openxmlformats.org/officeDocument/2006/relationships/hyperlink" Target="https://www.sac-cas.ch/fr/cabanes-et-courses/portail-des-courses-du-cas/bivacco-cesare-fiorio-caai-2147436061/" TargetMode="External"/><Relationship Id="rId13" Type="http://schemas.openxmlformats.org/officeDocument/2006/relationships/hyperlink" Target="https://www.comune.frassinetto.to.it/it-it/vivere-il-comune/itinerari/percorso-n-8-3-collegamento-alpe-losa-bivacco-punta-rama-56104-1-2b5c2ed1c89e6ed1e66e629d6c4515e6" TargetMode="External"/><Relationship Id="rId12" Type="http://schemas.openxmlformats.org/officeDocument/2006/relationships/hyperlink" Target="https://www.lovevda.it/fr/base-de-donnees/7/bivouacs/nus/bivouac-reboulaz/2515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sac-cas.ch/fr/cabanes-et-courses/portail-des-courses-du-cas/refuge-des-bouquetins-cas-2147000041/" TargetMode="External"/><Relationship Id="rId3" Type="http://schemas.openxmlformats.org/officeDocument/2006/relationships/hyperlink" Target="https://www.vallemaira.org/strutture/bivacco-carmagnola/" TargetMode="External"/><Relationship Id="rId4" Type="http://schemas.openxmlformats.org/officeDocument/2006/relationships/hyperlink" Target="https://www.camptocamp.org/waypoints/104120/fr/refuge-des-grands-mulets" TargetMode="External"/><Relationship Id="rId9" Type="http://schemas.openxmlformats.org/officeDocument/2006/relationships/hyperlink" Target="https://www.caisusa.it/joomla/rifugi-e-bivacchi/16-bivacco-walter-blais" TargetMode="External"/><Relationship Id="rId15" Type="http://schemas.openxmlformats.org/officeDocument/2006/relationships/vmlDrawing" Target="../drawings/vmlDrawing1.vml"/><Relationship Id="rId14" Type="http://schemas.openxmlformats.org/officeDocument/2006/relationships/drawing" Target="../drawings/drawing1.xml"/><Relationship Id="rId17" Type="http://schemas.openxmlformats.org/officeDocument/2006/relationships/table" Target="../tables/table1.xml"/><Relationship Id="rId5" Type="http://schemas.openxmlformats.org/officeDocument/2006/relationships/hyperlink" Target="https://sleep-point.com/fr/refuge/bivouac-du-col-sommeiller" TargetMode="External"/><Relationship Id="rId6" Type="http://schemas.openxmlformats.org/officeDocument/2006/relationships/hyperlink" Target="https://comune.gressoneylatrinite.ao.it/it-it/novita/avvisi" TargetMode="External"/><Relationship Id="rId7" Type="http://schemas.openxmlformats.org/officeDocument/2006/relationships/hyperlink" Target="https://www.camptocamp.org/routes/48819/fr/tete-blanche-val-d-herens-par-bertol" TargetMode="External"/><Relationship Id="rId8" Type="http://schemas.openxmlformats.org/officeDocument/2006/relationships/hyperlink" Target="https://ecrins.alpes-refuges.fr/fiche-hebergement-refuge-de-chalance-ffcam-R0500chl.html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ovevda.it/it/banca-dati/7/bivacchi/valsavarenche/bivacco-grivola/2786" TargetMode="External"/><Relationship Id="rId22" Type="http://schemas.openxmlformats.org/officeDocument/2006/relationships/hyperlink" Target="https://www.lovevda.it/fr/base-de-donnees/7/randonnees-d-une-journee/cogne/cogne-bivouac-gratton/1194" TargetMode="External"/><Relationship Id="rId21" Type="http://schemas.openxmlformats.org/officeDocument/2006/relationships/hyperlink" Target="https://www.alpicuneesi.it/itinerari/vallevaraita/1502.htm" TargetMode="External"/><Relationship Id="rId24" Type="http://schemas.openxmlformats.org/officeDocument/2006/relationships/vmlDrawing" Target="../drawings/vmlDrawing2.vml"/><Relationship Id="rId23" Type="http://schemas.openxmlformats.org/officeDocument/2006/relationships/drawing" Target="../drawings/drawing2.xml"/><Relationship Id="rId1" Type="http://schemas.openxmlformats.org/officeDocument/2006/relationships/comments" Target="../comments2.xml"/><Relationship Id="rId2" Type="http://schemas.openxmlformats.org/officeDocument/2006/relationships/hyperlink" Target="https://www.vallemaira.org/strutture/bivacco-carmagnola/" TargetMode="External"/><Relationship Id="rId3" Type="http://schemas.openxmlformats.org/officeDocument/2006/relationships/hyperlink" Target="https://www.comune.antronaschieranco.vb.it/en-us/vivere-il-comune/dove-dormire/bivacco-di-camposecco-2335-mt-22297-1-0ac2aed745c001e0d35fae50ea76199c" TargetMode="External"/><Relationship Id="rId4" Type="http://schemas.openxmlformats.org/officeDocument/2006/relationships/hyperlink" Target="https://ecrins.alpes-refuges.fr/fiche-hebergement-refuge-de-chalance-ffcam-R0500chl.html" TargetMode="External"/><Relationship Id="rId9" Type="http://schemas.openxmlformats.org/officeDocument/2006/relationships/hyperlink" Target="https://www.bivouak.net/refuges/refuge-625-bivacco-salvasera.html" TargetMode="External"/><Relationship Id="rId26" Type="http://schemas.openxmlformats.org/officeDocument/2006/relationships/table" Target="../tables/table2.xml"/><Relationship Id="rId5" Type="http://schemas.openxmlformats.org/officeDocument/2006/relationships/hyperlink" Target="https://www.lovevda.it/fr/base-de-donnees/7/bivouacs/nus/bivouac-reboulaz/2515" TargetMode="External"/><Relationship Id="rId6" Type="http://schemas.openxmlformats.org/officeDocument/2006/relationships/hyperlink" Target="https://balteus.lovevda.it/fr/base-de-donnees/7/bivouacs/brissogne/bivouac-menabreaz/2510" TargetMode="External"/><Relationship Id="rId7" Type="http://schemas.openxmlformats.org/officeDocument/2006/relationships/hyperlink" Target="https://comune.gressoneylatrinite.ao.it/it-it/novita/avvisi" TargetMode="External"/><Relationship Id="rId8" Type="http://schemas.openxmlformats.org/officeDocument/2006/relationships/hyperlink" Target="https://www.sac-cas.ch/fr/cabanes-et-courses/portail-des-courses-du-cas/bivacco-cesare-fiorio-caai-2147436061/" TargetMode="External"/><Relationship Id="rId11" Type="http://schemas.openxmlformats.org/officeDocument/2006/relationships/hyperlink" Target="https://www.caivarese.it/evento/bivacco-farello-da-ponte-campo-san-domenico-vb/" TargetMode="External"/><Relationship Id="rId10" Type="http://schemas.openxmlformats.org/officeDocument/2006/relationships/hyperlink" Target="https://www.sac-cas.ch/fr/cabanes-et-courses/portail-des-courses-du-cas/refuge-des-bouquetins-cas-2147000041/" TargetMode="External"/><Relationship Id="rId13" Type="http://schemas.openxmlformats.org/officeDocument/2006/relationships/hyperlink" Target="https://sleep-point.com/fr/refuge/bivouac-du-col-sommeiller" TargetMode="External"/><Relationship Id="rId12" Type="http://schemas.openxmlformats.org/officeDocument/2006/relationships/hyperlink" Target="https://www.caisusa.it/joomla/rifugi-e-bivacchi/16-bivacco-walter-blais" TargetMode="External"/><Relationship Id="rId15" Type="http://schemas.openxmlformats.org/officeDocument/2006/relationships/hyperlink" Target="https://caibergamo.it/geoportale/rifugi-bivacchi/bivacco-aldo-frattini" TargetMode="External"/><Relationship Id="rId14" Type="http://schemas.openxmlformats.org/officeDocument/2006/relationships/hyperlink" Target="https://www.refuges.info/point/1960/cabane-non-gardee/cabane-du-berger-de-Chillol/" TargetMode="External"/><Relationship Id="rId17" Type="http://schemas.openxmlformats.org/officeDocument/2006/relationships/hyperlink" Target="https://www.camptocamp.org/waypoints/104120/fr/refuge-des-grands-mulets" TargetMode="External"/><Relationship Id="rId16" Type="http://schemas.openxmlformats.org/officeDocument/2006/relationships/hyperlink" Target="https://www.camptocamp.org/routes/48819/fr/tete-blanche-val-d-herens-par-bertol" TargetMode="External"/><Relationship Id="rId19" Type="http://schemas.openxmlformats.org/officeDocument/2006/relationships/hyperlink" Target="https://www.comune.frassinetto.to.it/it-it/vivere-il-comune/itinerari/percorso-n-8-3-collegamento-alpe-losa-bivacco-punta-rama-56104-1-2b5c2ed1c89e6ed1e66e629d6c4515e6" TargetMode="External"/><Relationship Id="rId18" Type="http://schemas.openxmlformats.org/officeDocument/2006/relationships/hyperlink" Target="https://rifugiofauniera.it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www.vallemaira.org/strutture/bivacco-carmagnola/" TargetMode="External"/><Relationship Id="rId3" Type="http://schemas.openxmlformats.org/officeDocument/2006/relationships/hyperlink" Target="https://www.lovevda.it/fr/base-de-donnees/7/bivouacs/nus/bivouac-reboulaz/2515" TargetMode="External"/><Relationship Id="rId4" Type="http://schemas.openxmlformats.org/officeDocument/2006/relationships/hyperlink" Target="https://www.camptocamp.org/waypoints/302352/fr/col-du-grand-saint-bernard" TargetMode="External"/><Relationship Id="rId9" Type="http://schemas.openxmlformats.org/officeDocument/2006/relationships/table" Target="../tables/table3.xml"/><Relationship Id="rId5" Type="http://schemas.openxmlformats.org/officeDocument/2006/relationships/hyperlink" Target="https://rifugiofauniera.it/" TargetMode="External"/><Relationship Id="rId6" Type="http://schemas.openxmlformats.org/officeDocument/2006/relationships/drawing" Target="../drawings/drawing3.xml"/><Relationship Id="rId7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21" Type="http://schemas.openxmlformats.org/officeDocument/2006/relationships/table" Target="../tables/table4.xml"/><Relationship Id="rId1" Type="http://schemas.openxmlformats.org/officeDocument/2006/relationships/comments" Target="../comments4.xml"/><Relationship Id="rId2" Type="http://schemas.openxmlformats.org/officeDocument/2006/relationships/hyperlink" Target="https://www.vallemaira.org/strutture/bivacco-carmagnola/" TargetMode="External"/><Relationship Id="rId3" Type="http://schemas.openxmlformats.org/officeDocument/2006/relationships/hyperlink" Target="https://www.sac-cas.ch/fr/cabanes-et-courses/portail-des-courses-du-cas/refuge-des-bouquetins-cas-2147000041/" TargetMode="External"/><Relationship Id="rId4" Type="http://schemas.openxmlformats.org/officeDocument/2006/relationships/hyperlink" Target="https://sleep-point.com/fr/refuge/bivouac-du-col-sommeiller" TargetMode="External"/><Relationship Id="rId9" Type="http://schemas.openxmlformats.org/officeDocument/2006/relationships/hyperlink" Target="https://www.lovevda.it/fr/base-de-donnees/7/bivouacs/nus/bivouac-reboulaz/2515" TargetMode="External"/><Relationship Id="rId5" Type="http://schemas.openxmlformats.org/officeDocument/2006/relationships/hyperlink" Target="https://comune.gressoneylatrinite.ao.it/it-it/novita/avvisi" TargetMode="External"/><Relationship Id="rId6" Type="http://schemas.openxmlformats.org/officeDocument/2006/relationships/hyperlink" Target="https://www.comune.antronaschieranco.vb.it/en-us/vivere-il-comune/dove-dormire/bivacco-di-camposecco-2335-mt-22297-1-0ac2aed745c001e0d35fae50ea76199c" TargetMode="External"/><Relationship Id="rId7" Type="http://schemas.openxmlformats.org/officeDocument/2006/relationships/hyperlink" Target="https://ecrins.alpes-refuges.fr/fiche-hebergement-refuge-de-chalance-ffcam-R0500chl.html" TargetMode="External"/><Relationship Id="rId8" Type="http://schemas.openxmlformats.org/officeDocument/2006/relationships/hyperlink" Target="https://balteus.lovevda.it/fr/base-de-donnees/7/bivouacs/brissogne/bivouac-menabreaz/2510" TargetMode="External"/><Relationship Id="rId11" Type="http://schemas.openxmlformats.org/officeDocument/2006/relationships/hyperlink" Target="https://www.camptocamp.org/waypoints/302352/fr/col-du-grand-saint-bernard" TargetMode="External"/><Relationship Id="rId10" Type="http://schemas.openxmlformats.org/officeDocument/2006/relationships/hyperlink" Target="https://www.caivarese.it/evento/bivacco-farello-da-ponte-campo-san-domenico-vb/" TargetMode="External"/><Relationship Id="rId13" Type="http://schemas.openxmlformats.org/officeDocument/2006/relationships/hyperlink" Target="https://www.camptocamp.org/waypoints/104120/fr/refuge-des-grands-mulets" TargetMode="External"/><Relationship Id="rId12" Type="http://schemas.openxmlformats.org/officeDocument/2006/relationships/hyperlink" Target="https://www.sac-cas.ch/fr/cabanes-et-courses/portail-des-courses-du-cas/bivacco-cesare-fiorio-caai-2147436061/" TargetMode="External"/><Relationship Id="rId15" Type="http://schemas.openxmlformats.org/officeDocument/2006/relationships/hyperlink" Target="https://www.camptocamp.org/routes/48819/fr/tete-blanche-val-d-herens-par-bertol" TargetMode="External"/><Relationship Id="rId14" Type="http://schemas.openxmlformats.org/officeDocument/2006/relationships/hyperlink" Target="https://www.camptocamp.org/waypoints/104120/fr/refuge-des-grands-mulets" TargetMode="External"/><Relationship Id="rId17" Type="http://schemas.openxmlformats.org/officeDocument/2006/relationships/hyperlink" Target="https://rifugiofauniera.it/" TargetMode="External"/><Relationship Id="rId16" Type="http://schemas.openxmlformats.org/officeDocument/2006/relationships/hyperlink" Target="https://www.camptocamp.org/routes/48819/fr/tete-blanche-val-d-herens-par-bertol" TargetMode="External"/><Relationship Id="rId19" Type="http://schemas.openxmlformats.org/officeDocument/2006/relationships/vmlDrawing" Target="../drawings/vmlDrawing4.vml"/><Relationship Id="rId18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2.0"/>
    <col customWidth="1" min="2" max="2" width="33.88"/>
    <col customWidth="1" min="3" max="3" width="22.38"/>
    <col customWidth="1" min="4" max="4" width="26.38"/>
    <col customWidth="1" min="5" max="5" width="14.63"/>
    <col customWidth="1" min="6" max="6" width="38.88"/>
    <col customWidth="1" min="7" max="7" width="20.5"/>
    <col customWidth="1" min="8" max="8" width="15.13"/>
    <col customWidth="1" min="9" max="9" width="14.88"/>
    <col customWidth="1" min="10" max="10" width="15.25"/>
    <col customWidth="1" min="11" max="11" width="18.13"/>
    <col customWidth="1" min="12" max="12" width="18.38"/>
    <col customWidth="1" min="13" max="13" width="22.13"/>
    <col customWidth="1" min="14" max="14" width="18.5"/>
    <col customWidth="1" min="15" max="15" width="15.13"/>
    <col customWidth="1" min="16" max="16" width="19.13"/>
    <col customWidth="1" min="17" max="17" width="27.63"/>
    <col customWidth="1" min="18" max="18" width="45.13"/>
    <col customWidth="1" min="19" max="19" width="20.0"/>
    <col customWidth="1" min="20" max="20" width="18.75"/>
    <col customWidth="1" min="21" max="21" width="20.88"/>
    <col customWidth="1" min="22" max="22" width="34.5"/>
    <col customWidth="1" min="23" max="23" width="24.88"/>
    <col customWidth="1" min="24" max="24" width="45.75"/>
    <col hidden="1" min="25" max="25" width="12.63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</row>
    <row r="2" ht="86.25" customHeight="1">
      <c r="A2" s="3" t="s">
        <v>25</v>
      </c>
      <c r="B2" s="3" t="s">
        <v>26</v>
      </c>
      <c r="C2" s="4" t="str">
        <f>IFERROR(IMAGE("https://www.sac-cas.ch/processed/sa2020assetsprod/c/f/csm_1530092624_976780551master_fa3a549d12.jpg",4,92,160),"Photo indisponible")</f>
        <v/>
      </c>
      <c r="D2" s="3" t="s">
        <v>27</v>
      </c>
      <c r="E2" s="5">
        <v>3540.0</v>
      </c>
      <c r="F2" s="3" t="s">
        <v>28</v>
      </c>
      <c r="G2" s="5">
        <v>1770.0</v>
      </c>
      <c r="H2" s="3" t="s">
        <v>29</v>
      </c>
      <c r="I2" s="5">
        <v>6.0</v>
      </c>
      <c r="J2" s="5">
        <v>1770.0</v>
      </c>
      <c r="K2" s="6">
        <v>5.0</v>
      </c>
      <c r="L2" s="6">
        <v>5.0</v>
      </c>
      <c r="M2" s="6">
        <v>4.0</v>
      </c>
      <c r="N2" s="6">
        <v>5.0</v>
      </c>
      <c r="O2" s="6">
        <v>5.0</v>
      </c>
      <c r="P2" s="7">
        <f t="shared" ref="P2:P39" si="1">ROUND(Y2,0)</f>
        <v>4</v>
      </c>
      <c r="Q2" s="3" t="s">
        <v>30</v>
      </c>
      <c r="R2" s="3" t="s">
        <v>31</v>
      </c>
      <c r="S2" s="8" t="str">
        <f>HYPERLINK("https://www.sac-cas.ch/en/huts-and-tours/sac-route-portal/bivouac-au-col-de-la-dent-blanche-cas-2147000074/alpinism/","Site officiel")</f>
        <v>Site officiel</v>
      </c>
      <c r="T2" s="8" t="str">
        <f>HYPERLINK("https://www.google.com/maps/place/Bivouac+au+Col+de+la+Dent+Blanche+CAS/data=!4m2!3m1!1s0x478f31a1a2f10b93:0x4fc0ace4fff55e12","Ouvrir Maps")</f>
        <v>Ouvrir Maps</v>
      </c>
      <c r="U2" s="8" t="str">
        <f>HYPERLINK("https://www.sac-cas.ch/processed/sa2020assetsprod/c/f/csm_1530092624_976780551master_fa3a549d12.jpg","Photo HD")</f>
        <v>Photo HD</v>
      </c>
      <c r="V2" s="8" t="str">
        <f>HYPERLINK("https://www.sac-cas.ch/en/huts-and-tours/sac-route-portal/bivouac-au-col-de-la-dent-blanche-cas-2147000074/alpinism/","Fiche source")</f>
        <v>Fiche source</v>
      </c>
      <c r="W2" s="3" t="s">
        <v>32</v>
      </c>
      <c r="X2" s="4"/>
      <c r="Y2" s="9">
        <f t="shared" ref="Y2:Y39" si="2">MAX(0,MIN(5,ROUND(0.32*K2+0.12*L2+0.13*M2+0.16*N2+0.14*O2+0.13*MAX(0,5-IFERROR(TIMEVALUE(SUBSTITUTE(H2,"h",":"))*24,0)*0.35-I2*0.2-J2/4000),2)))</f>
        <v>4.44</v>
      </c>
    </row>
    <row r="3" ht="86.25" customHeight="1">
      <c r="A3" s="3" t="s">
        <v>25</v>
      </c>
      <c r="B3" s="3" t="s">
        <v>33</v>
      </c>
      <c r="C3" s="4" t="str">
        <f>IFERROR(IMAGE("https://www.myswitzerland.com/-/media/st/gadmin/images/destinations/summer/huts/sac_arbenbiwak_2008_227662.jpg",4,92,160),"Photo indisponible")</f>
        <v/>
      </c>
      <c r="D3" s="3" t="s">
        <v>34</v>
      </c>
      <c r="E3" s="5">
        <v>3225.0</v>
      </c>
      <c r="F3" s="3" t="s">
        <v>35</v>
      </c>
      <c r="G3" s="5">
        <v>1620.0</v>
      </c>
      <c r="H3" s="3" t="s">
        <v>36</v>
      </c>
      <c r="I3" s="5">
        <v>5.8</v>
      </c>
      <c r="J3" s="5">
        <v>1605.0</v>
      </c>
      <c r="K3" s="6">
        <v>5.0</v>
      </c>
      <c r="L3" s="6">
        <v>5.0</v>
      </c>
      <c r="M3" s="6">
        <v>4.0</v>
      </c>
      <c r="N3" s="6">
        <v>5.0</v>
      </c>
      <c r="O3" s="6">
        <v>5.0</v>
      </c>
      <c r="P3" s="7">
        <f t="shared" si="1"/>
        <v>4</v>
      </c>
      <c r="Q3" s="3" t="s">
        <v>37</v>
      </c>
      <c r="R3" s="3" t="s">
        <v>38</v>
      </c>
      <c r="S3" s="8" t="str">
        <f>HYPERLINK("https://www.sac-cas.ch/fr/cabanes-et-courses/portail-des-courses-du-cas/arbenbiwak-sac-2147000016/","Site officiel")</f>
        <v>Site officiel</v>
      </c>
      <c r="T3" s="8" t="str">
        <f>HYPERLINK("https://www.google.com/maps/place/Arbenbiwak+SAC/data=!4m2!3m1!1s0x478f315e39ce7ec3:0xffd6ecfefb0746d5","Ouvrir Maps")</f>
        <v>Ouvrir Maps</v>
      </c>
      <c r="U3" s="8" t="str">
        <f>HYPERLINK("https://www.myswitzerland.com/-/media/st/gadmin/images/destinations/summer/huts/sac_arbenbiwak_2008_227662.jpg","Photo HD")</f>
        <v>Photo HD</v>
      </c>
      <c r="V3" s="8" t="str">
        <f>HYPERLINK("https://www.sac-cas.ch/fr/cabanes-et-courses/portail-des-courses-du-cas/arbenbiwak-sac-2147000016/","Fiche source")</f>
        <v>Fiche source</v>
      </c>
      <c r="W3" s="3" t="s">
        <v>32</v>
      </c>
      <c r="X3" s="4"/>
      <c r="Y3" s="9">
        <f t="shared" si="2"/>
        <v>4.43</v>
      </c>
    </row>
    <row r="4" ht="86.25" customHeight="1">
      <c r="A4" s="3" t="s">
        <v>25</v>
      </c>
      <c r="B4" s="3" t="s">
        <v>39</v>
      </c>
      <c r="C4" s="4" t="str">
        <f>IFERROR(IMAGE("https://www.bergsteigen.com/fileadmin/_processed_/d/1/csm_stockhronbiwak-9_1de5692693.jpg",4,92,160),"Photo indisponible")</f>
        <v/>
      </c>
      <c r="D4" s="3" t="s">
        <v>40</v>
      </c>
      <c r="E4" s="5">
        <v>2598.0</v>
      </c>
      <c r="F4" s="3" t="s">
        <v>41</v>
      </c>
      <c r="G4" s="5">
        <v>970.0</v>
      </c>
      <c r="H4" s="3" t="s">
        <v>36</v>
      </c>
      <c r="I4" s="5">
        <v>6.5</v>
      </c>
      <c r="J4" s="5">
        <v>1628.0</v>
      </c>
      <c r="K4" s="6">
        <v>5.0</v>
      </c>
      <c r="L4" s="6">
        <v>5.0</v>
      </c>
      <c r="M4" s="6">
        <v>4.0</v>
      </c>
      <c r="N4" s="6">
        <v>5.0</v>
      </c>
      <c r="O4" s="6">
        <v>5.0</v>
      </c>
      <c r="P4" s="7">
        <f t="shared" si="1"/>
        <v>4</v>
      </c>
      <c r="Q4" s="3" t="s">
        <v>42</v>
      </c>
      <c r="R4" s="3" t="s">
        <v>43</v>
      </c>
      <c r="S4" s="8" t="str">
        <f>HYPERLINK("https://www.sac-cas.ch/fr/cabanes-et-courses/portail-des-courses-du-cas/stockhornbiwak-sac-2147000258/","Site officiel")</f>
        <v>Site officiel</v>
      </c>
      <c r="T4" s="8" t="str">
        <f>HYPERLINK("https://www.google.com/maps/place/Stockhornbiwak+SAC/data=!4m2!3m1!1s0x478f6d380c649801:0x2af75228f92aa18","Ouvrir Maps")</f>
        <v>Ouvrir Maps</v>
      </c>
      <c r="U4" s="8" t="str">
        <f>HYPERLINK("https://www.bergsteigen.com/fileadmin/_processed_/d/1/csm_stockhronbiwak-9_1de5692693.jpg","Photo HD")</f>
        <v>Photo HD</v>
      </c>
      <c r="V4" s="8" t="str">
        <f>HYPERLINK("https://www.sac-cas.ch/fr/cabanes-et-courses/portail-des-courses-du-cas/stockhornbiwak-sac-2147000258/","Fiche source")</f>
        <v>Fiche source</v>
      </c>
      <c r="W4" s="3" t="s">
        <v>32</v>
      </c>
      <c r="X4" s="4"/>
      <c r="Y4" s="9">
        <f t="shared" si="2"/>
        <v>4.41</v>
      </c>
    </row>
    <row r="5" ht="86.25" customHeight="1">
      <c r="A5" s="3" t="s">
        <v>25</v>
      </c>
      <c r="B5" s="3" t="s">
        <v>44</v>
      </c>
      <c r="C5" s="8" t="str">
        <f>HYPERLINK("https://www.google.com/search?tbm=isch&amp;q=Capanna+Luigina+Resegotti+refuge+bivouac+montagne+photo","🔎 Rechercher photo")</f>
        <v>🔎 Rechercher photo</v>
      </c>
      <c r="D5" s="3" t="s">
        <v>45</v>
      </c>
      <c r="E5" s="5">
        <v>3624.0</v>
      </c>
      <c r="F5" s="3" t="s">
        <v>46</v>
      </c>
      <c r="G5" s="5">
        <v>1190.0</v>
      </c>
      <c r="H5" s="3" t="s">
        <v>47</v>
      </c>
      <c r="I5" s="5">
        <v>7.0</v>
      </c>
      <c r="J5" s="5">
        <v>2434.0</v>
      </c>
      <c r="K5" s="6">
        <v>5.0</v>
      </c>
      <c r="L5" s="6">
        <v>5.0</v>
      </c>
      <c r="M5" s="6">
        <v>4.0</v>
      </c>
      <c r="N5" s="6">
        <v>5.0</v>
      </c>
      <c r="O5" s="6">
        <v>5.0</v>
      </c>
      <c r="P5" s="7">
        <f t="shared" si="1"/>
        <v>4</v>
      </c>
      <c r="Q5" s="3" t="s">
        <v>48</v>
      </c>
      <c r="R5" s="3" t="s">
        <v>49</v>
      </c>
      <c r="S5" s="8" t="str">
        <f>HYPERLINK("https://www.caivarallo.com/","Site officiel")</f>
        <v>Site officiel</v>
      </c>
      <c r="T5" s="8" t="str">
        <f>HYPERLINK("https://www.google.com/maps/place/Capanna+Luigina+Resegotti/data=!4m2!3m1!1s0x4788b30051efe8eb:0x2f4f70dd09ac7393","Ouvrir Maps")</f>
        <v>Ouvrir Maps</v>
      </c>
      <c r="U5" s="8" t="str">
        <f>HYPERLINK("https://www.google.com/search?tbm=isch&amp;q=Capanna+Luigina+Resegotti+refuge+bivouac+montagne+photo","Recherche photos")</f>
        <v>Recherche photos</v>
      </c>
      <c r="V5" s="4"/>
      <c r="W5" s="3" t="s">
        <v>50</v>
      </c>
      <c r="X5" s="3" t="s">
        <v>51</v>
      </c>
      <c r="Y5" s="9">
        <f t="shared" si="2"/>
        <v>4.38</v>
      </c>
    </row>
    <row r="6" ht="86.25" customHeight="1">
      <c r="A6" s="3" t="s">
        <v>25</v>
      </c>
      <c r="B6" s="3" t="s">
        <v>52</v>
      </c>
      <c r="C6" s="8" t="str">
        <f>HYPERLINK("https://www.google.com/search?tbm=isch&amp;q=Schalijochbiwak+SAC+refuge+bivouac+montagne+photo","🔎 Rechercher photo")</f>
        <v>🔎 Rechercher photo</v>
      </c>
      <c r="D6" s="3" t="s">
        <v>53</v>
      </c>
      <c r="E6" s="5">
        <v>3786.0</v>
      </c>
      <c r="F6" s="3" t="s">
        <v>54</v>
      </c>
      <c r="G6" s="5">
        <v>1670.0</v>
      </c>
      <c r="H6" s="3" t="s">
        <v>36</v>
      </c>
      <c r="I6" s="5">
        <v>9.0</v>
      </c>
      <c r="J6" s="5">
        <v>2116.0</v>
      </c>
      <c r="K6" s="6">
        <v>5.0</v>
      </c>
      <c r="L6" s="6">
        <v>5.0</v>
      </c>
      <c r="M6" s="6">
        <v>4.0</v>
      </c>
      <c r="N6" s="6">
        <v>5.0</v>
      </c>
      <c r="O6" s="6">
        <v>5.0</v>
      </c>
      <c r="P6" s="7">
        <f t="shared" si="1"/>
        <v>4</v>
      </c>
      <c r="Q6" s="3" t="s">
        <v>55</v>
      </c>
      <c r="R6" s="3" t="s">
        <v>56</v>
      </c>
      <c r="S6" s="8" t="str">
        <f>HYPERLINK("https://www.sac-cas.ch/fr/cabanes-et-courses/portail-des-courses-du-cas/schalijochbiwak-sac-2147000238/","Site officiel")</f>
        <v>Site officiel</v>
      </c>
      <c r="T6" s="8" t="str">
        <f>HYPERLINK("https://www.google.com/maps/place/Schalijochbiwak+SAC/data=!4m2!3m1!1s0x478f3751fb597bd5:0x553d727649808056","Ouvrir Maps")</f>
        <v>Ouvrir Maps</v>
      </c>
      <c r="U6" s="8" t="str">
        <f>HYPERLINK("https://www.google.com/search?tbm=isch&amp;q=Schalijochbiwak+SAC+refuge+bivouac+montagne+photo","Recherche photos")</f>
        <v>Recherche photos</v>
      </c>
      <c r="V6" s="8" t="str">
        <f>HYPERLINK("https://www.sac-cas.ch/fr/cabanes-et-courses/portail-des-courses-du-cas/schalijochbiwak-sac-2147000238/","Fiche source")</f>
        <v>Fiche source</v>
      </c>
      <c r="W6" s="3" t="s">
        <v>32</v>
      </c>
      <c r="X6" s="4"/>
      <c r="Y6" s="9">
        <f t="shared" si="2"/>
        <v>4.33</v>
      </c>
    </row>
    <row r="7" ht="86.25" customHeight="1">
      <c r="A7" s="3" t="s">
        <v>25</v>
      </c>
      <c r="B7" s="3" t="s">
        <v>57</v>
      </c>
      <c r="C7" s="4" t="str">
        <f>IFERROR(IMAGE("https://refuge.camp/_next/image?q=75&amp;url=https%3A%2F%2Fpub-48d6aa73c6444bd586149908aa4f3b05.r2.dev%2Fbivouac_matteo_corradini_thumbnail_1_1b36410b13.jpeg&amp;w=3840",4,92,160),"Photo indisponible")</f>
        <v/>
      </c>
      <c r="D7" s="3" t="s">
        <v>58</v>
      </c>
      <c r="E7" s="5">
        <v>2847.0</v>
      </c>
      <c r="F7" s="3" t="s">
        <v>59</v>
      </c>
      <c r="G7" s="5">
        <v>1665.0</v>
      </c>
      <c r="H7" s="3" t="s">
        <v>60</v>
      </c>
      <c r="I7" s="5">
        <v>4.0</v>
      </c>
      <c r="J7" s="5">
        <v>1182.0</v>
      </c>
      <c r="K7" s="6">
        <v>4.0</v>
      </c>
      <c r="L7" s="6">
        <v>5.0</v>
      </c>
      <c r="M7" s="6">
        <v>3.0</v>
      </c>
      <c r="N7" s="6">
        <v>5.0</v>
      </c>
      <c r="O7" s="6">
        <v>5.0</v>
      </c>
      <c r="P7" s="7">
        <f t="shared" si="1"/>
        <v>4</v>
      </c>
      <c r="Q7" s="3" t="s">
        <v>61</v>
      </c>
      <c r="R7" s="3" t="s">
        <v>62</v>
      </c>
      <c r="S7" s="4"/>
      <c r="T7" s="8" t="str">
        <f>HYPERLINK("https://www.google.com/maps/place/Bivacco+Corradini/data=!4m2!3m1!1s0x4789dfb8dc658bdd:0x6556901336c29628","Ouvrir Maps")</f>
        <v>Ouvrir Maps</v>
      </c>
      <c r="U7" s="8" t="str">
        <f>HYPERLINK("https://refuge.camp/_next/image?q=75&amp;url=https%3A%2F%2Fpub-48d6aa73c6444bd586149908aa4f3b05.r2.dev%2Fbivouac_matteo_corradini_thumbnail_1_1b36410b13.jpeg&amp;w=3840","Photo HD")</f>
        <v>Photo HD</v>
      </c>
      <c r="V7" s="4"/>
      <c r="W7" s="3" t="s">
        <v>50</v>
      </c>
      <c r="X7" s="3" t="s">
        <v>63</v>
      </c>
      <c r="Y7" s="9">
        <f t="shared" si="2"/>
        <v>4.13</v>
      </c>
    </row>
    <row r="8" ht="86.25" customHeight="1">
      <c r="A8" s="3" t="s">
        <v>25</v>
      </c>
      <c r="B8" s="3" t="s">
        <v>64</v>
      </c>
      <c r="C8" s="8" t="str">
        <f>HYPERLINK("https://www.google.com/search?tbm=isch&amp;q=rifugio+Vittorio+Raffaele+Leonesi+refuge+bivouac+montagne+photo","🔎 Rechercher photo")</f>
        <v>🔎 Rechercher photo</v>
      </c>
      <c r="D8" s="3" t="s">
        <v>65</v>
      </c>
      <c r="E8" s="5">
        <v>2900.0</v>
      </c>
      <c r="F8" s="3" t="s">
        <v>66</v>
      </c>
      <c r="G8" s="5">
        <v>1600.0</v>
      </c>
      <c r="H8" s="3" t="s">
        <v>67</v>
      </c>
      <c r="I8" s="5">
        <v>5.0</v>
      </c>
      <c r="J8" s="5">
        <v>1300.0</v>
      </c>
      <c r="K8" s="6">
        <v>4.0</v>
      </c>
      <c r="L8" s="6">
        <v>5.0</v>
      </c>
      <c r="M8" s="6">
        <v>4.0</v>
      </c>
      <c r="N8" s="6">
        <v>4.0</v>
      </c>
      <c r="O8" s="6">
        <v>5.0</v>
      </c>
      <c r="P8" s="7">
        <f t="shared" si="1"/>
        <v>4</v>
      </c>
      <c r="Q8" s="3" t="s">
        <v>68</v>
      </c>
      <c r="R8" s="3" t="s">
        <v>69</v>
      </c>
      <c r="S8" s="4"/>
      <c r="T8" s="8" t="str">
        <f>HYPERLINK("https://www.google.com/maps/place/rifugio+Vittorio+Raffaele+Leonesi/data=!4m2!3m1!1s0x478900e3afa816c5:0x1ece3548ef3de5a8","Ouvrir Maps")</f>
        <v>Ouvrir Maps</v>
      </c>
      <c r="U8" s="8" t="str">
        <f>HYPERLINK("https://www.google.com/search?tbm=isch&amp;q=rifugio+Vittorio+Raffaele+Leonesi+refuge+bivouac+montagne+photo","Recherche photos")</f>
        <v>Recherche photos</v>
      </c>
      <c r="V8" s="4"/>
      <c r="W8" s="3" t="s">
        <v>50</v>
      </c>
      <c r="X8" s="3" t="s">
        <v>70</v>
      </c>
      <c r="Y8" s="9">
        <f t="shared" si="2"/>
        <v>4.06</v>
      </c>
    </row>
    <row r="9" ht="86.25" customHeight="1">
      <c r="A9" s="3" t="s">
        <v>25</v>
      </c>
      <c r="B9" s="3" t="s">
        <v>71</v>
      </c>
      <c r="C9" s="4" t="str">
        <f>IFERROR(IMAGE("https://d2exd72xrrp1s7.cloudfront.net/www/000/1k1/19/191l043nejeq41hwxm02gejrlv20ow8p3d-uhi652725/0?crop=true&amp;height=576&amp;width=768",4,92,160),"Photo indisponible")</f>
        <v/>
      </c>
      <c r="D9" s="3" t="s">
        <v>65</v>
      </c>
      <c r="E9" s="5">
        <v>2770.0</v>
      </c>
      <c r="F9" s="3" t="s">
        <v>72</v>
      </c>
      <c r="G9" s="5">
        <v>1370.0</v>
      </c>
      <c r="H9" s="3" t="s">
        <v>73</v>
      </c>
      <c r="I9" s="5">
        <v>5.5</v>
      </c>
      <c r="J9" s="5">
        <v>1400.0</v>
      </c>
      <c r="K9" s="6">
        <v>4.0</v>
      </c>
      <c r="L9" s="6">
        <v>5.0</v>
      </c>
      <c r="M9" s="6">
        <v>4.0</v>
      </c>
      <c r="N9" s="6">
        <v>4.0</v>
      </c>
      <c r="O9" s="6">
        <v>5.0</v>
      </c>
      <c r="P9" s="7">
        <f t="shared" si="1"/>
        <v>4</v>
      </c>
      <c r="Q9" s="3" t="s">
        <v>74</v>
      </c>
      <c r="R9" s="3" t="s">
        <v>75</v>
      </c>
      <c r="S9" s="4"/>
      <c r="T9" s="8" t="str">
        <f>HYPERLINK("https://www.google.com/maps/place/Bivacco+Ivrea/data=!4m2!3m1!1s0x4788fd003ba4230f:0x4991879c0289c691","Ouvrir Maps")</f>
        <v>Ouvrir Maps</v>
      </c>
      <c r="U9" s="8" t="str">
        <f>HYPERLINK("https://d2exd72xrrp1s7.cloudfront.net/www/000/1k1/19/191l043nejeq41hwxm02gejrlv20ow8p3d-uhi652725/0?crop=true&amp;height=576&amp;width=768","Photo HD")</f>
        <v>Photo HD</v>
      </c>
      <c r="V9" s="4"/>
      <c r="W9" s="3" t="s">
        <v>50</v>
      </c>
      <c r="X9" s="4"/>
      <c r="Y9" s="9">
        <f t="shared" si="2"/>
        <v>4.04</v>
      </c>
    </row>
    <row r="10" ht="86.25" customHeight="1">
      <c r="A10" s="3" t="s">
        <v>25</v>
      </c>
      <c r="B10" s="3" t="s">
        <v>76</v>
      </c>
      <c r="C10" s="8" t="str">
        <f>HYPERLINK("https://www.google.com/search?tbm=isch&amp;q=Refuge+des+Bouquetins+CAS+refuge+bivouac+montagne+photo","🔎 Rechercher photo")</f>
        <v>🔎 Rechercher photo</v>
      </c>
      <c r="D10" s="3" t="s">
        <v>27</v>
      </c>
      <c r="E10" s="5">
        <v>2980.0</v>
      </c>
      <c r="F10" s="3" t="s">
        <v>77</v>
      </c>
      <c r="G10" s="5">
        <v>1960.0</v>
      </c>
      <c r="H10" s="3" t="s">
        <v>29</v>
      </c>
      <c r="I10" s="5">
        <v>4.0</v>
      </c>
      <c r="J10" s="5">
        <v>1020.0</v>
      </c>
      <c r="K10" s="6">
        <v>4.0</v>
      </c>
      <c r="L10" s="6">
        <v>5.0</v>
      </c>
      <c r="M10" s="6">
        <v>4.0</v>
      </c>
      <c r="N10" s="6">
        <v>4.0</v>
      </c>
      <c r="O10" s="6">
        <v>5.0</v>
      </c>
      <c r="P10" s="7">
        <f t="shared" si="1"/>
        <v>4</v>
      </c>
      <c r="Q10" s="3" t="s">
        <v>78</v>
      </c>
      <c r="R10" s="3" t="s">
        <v>79</v>
      </c>
      <c r="S10" s="4"/>
      <c r="T10" s="8" t="str">
        <f>HYPERLINK("https://www.google.com/maps/place/Refuge+des+Bouquetins+CAS/data=!4m2!3m1!1s0x478f2cd8262a6dad:0xc986f40f46bb483f","Ouvrir Maps")</f>
        <v>Ouvrir Maps</v>
      </c>
      <c r="U10" s="8" t="str">
        <f>HYPERLINK("https://www.google.com/search?tbm=isch&amp;q=Refuge+des+Bouquetins+CAS+refuge+bivouac+montagne+photo","Recherche photos")</f>
        <v>Recherche photos</v>
      </c>
      <c r="V10" s="10" t="s">
        <v>80</v>
      </c>
      <c r="W10" s="3" t="s">
        <v>81</v>
      </c>
      <c r="X10" s="3" t="s">
        <v>82</v>
      </c>
      <c r="Y10" s="9">
        <f t="shared" si="2"/>
        <v>4.04</v>
      </c>
    </row>
    <row r="11" ht="86.25" customHeight="1">
      <c r="A11" s="3" t="s">
        <v>25</v>
      </c>
      <c r="B11" s="3" t="s">
        <v>83</v>
      </c>
      <c r="C11" s="4" t="str">
        <f>IFERROR(IMAGE("https://www.gedistatic.it/content/gnn/img/lastampa/2020/09/13/014654241-b07c9869-7be5-4a7b-b8ac-961a4beb3a07.jpg",4,92,160),"Photo indisponible")</f>
        <v/>
      </c>
      <c r="D11" s="3" t="s">
        <v>84</v>
      </c>
      <c r="E11" s="5">
        <v>2840.0</v>
      </c>
      <c r="F11" s="3" t="s">
        <v>85</v>
      </c>
      <c r="G11" s="5">
        <v>2000.0</v>
      </c>
      <c r="H11" s="3" t="s">
        <v>86</v>
      </c>
      <c r="I11" s="5">
        <v>2.5</v>
      </c>
      <c r="J11" s="5">
        <v>840.0</v>
      </c>
      <c r="K11" s="6">
        <v>4.0</v>
      </c>
      <c r="L11" s="6">
        <v>5.0</v>
      </c>
      <c r="M11" s="6">
        <v>3.0</v>
      </c>
      <c r="N11" s="6">
        <v>4.0</v>
      </c>
      <c r="O11" s="6">
        <v>5.0</v>
      </c>
      <c r="P11" s="7">
        <f t="shared" si="1"/>
        <v>4</v>
      </c>
      <c r="Q11" s="3" t="s">
        <v>87</v>
      </c>
      <c r="R11" s="3" t="s">
        <v>88</v>
      </c>
      <c r="S11" s="4"/>
      <c r="T11" s="8" t="str">
        <f>HYPERLINK("https://www.google.com/maps/place/Rifugio+Carmagnola+(Bivacco)/data=!4m2!3m1!1s0x12ccdd4ceb27d077:0xd10d57a15b0888bf","Ouvrir Maps")</f>
        <v>Ouvrir Maps</v>
      </c>
      <c r="U11" s="8" t="str">
        <f>HYPERLINK("https://www.google.com/search?tbm=isch&amp;q=Rifugio+Carmagnola+%28Bivacco%29+refuge+bivouac+montagne+photo","Recherche photos")</f>
        <v>Recherche photos</v>
      </c>
      <c r="V11" s="10" t="s">
        <v>89</v>
      </c>
      <c r="W11" s="3" t="s">
        <v>81</v>
      </c>
      <c r="X11" s="3" t="s">
        <v>90</v>
      </c>
      <c r="Y11" s="9">
        <f t="shared" si="2"/>
        <v>4.03</v>
      </c>
    </row>
    <row r="12" ht="86.25" customHeight="1">
      <c r="A12" s="3" t="s">
        <v>25</v>
      </c>
      <c r="B12" s="3" t="s">
        <v>91</v>
      </c>
      <c r="C12" s="8" t="str">
        <f>HYPERLINK("https://www.google.com/search?tbm=isch&amp;q=Bivacco+Citt%C3%A0+di+Varese+refuge+bivouac+montagne+photo","🔎 Rechercher photo")</f>
        <v>🔎 Rechercher photo</v>
      </c>
      <c r="D12" s="3" t="s">
        <v>92</v>
      </c>
      <c r="E12" s="5">
        <v>2650.0</v>
      </c>
      <c r="F12" s="3" t="s">
        <v>93</v>
      </c>
      <c r="G12" s="5">
        <v>1495.0</v>
      </c>
      <c r="H12" s="3" t="s">
        <v>94</v>
      </c>
      <c r="I12" s="5">
        <v>4.0</v>
      </c>
      <c r="J12" s="5">
        <v>1155.0</v>
      </c>
      <c r="K12" s="6">
        <v>4.0</v>
      </c>
      <c r="L12" s="6">
        <v>5.0</v>
      </c>
      <c r="M12" s="6">
        <v>4.0</v>
      </c>
      <c r="N12" s="6">
        <v>4.0</v>
      </c>
      <c r="O12" s="6">
        <v>5.0</v>
      </c>
      <c r="P12" s="7">
        <f t="shared" si="1"/>
        <v>4</v>
      </c>
      <c r="Q12" s="3" t="s">
        <v>95</v>
      </c>
      <c r="R12" s="3" t="s">
        <v>96</v>
      </c>
      <c r="S12" s="8" t="str">
        <f>HYPERLINK("https://www.comune.antronaschieranco.vb.it/it-it/vivere-il-comune/dove-dormire","Site officiel")</f>
        <v>Site officiel</v>
      </c>
      <c r="T12" s="8" t="str">
        <f>HYPERLINK("https://www.google.com/maps/place/Bivacco+Citt%C3%A0+di+Varese/data=!4m2!3m1!1s0x478f5a70d4bf24a1:0x33e03d5aa0c6f772","Ouvrir Maps")</f>
        <v>Ouvrir Maps</v>
      </c>
      <c r="U12" s="8" t="str">
        <f>HYPERLINK("https://www.google.com/search?tbm=isch&amp;q=Bivacco+Citt%C3%A0+di+Varese+refuge+bivouac+montagne+photo","Recherche photos")</f>
        <v>Recherche photos</v>
      </c>
      <c r="V12" s="4"/>
      <c r="W12" s="3" t="s">
        <v>50</v>
      </c>
      <c r="X12" s="4"/>
      <c r="Y12" s="9">
        <f t="shared" si="2"/>
        <v>4.03</v>
      </c>
    </row>
    <row r="13" ht="86.25" customHeight="1">
      <c r="A13" s="3" t="s">
        <v>25</v>
      </c>
      <c r="B13" s="3" t="s">
        <v>97</v>
      </c>
      <c r="C13" s="4" t="str">
        <f>IFERROR(IMAGE("https://www.saliinvetta.com/images/TREKKING/BivaccoCarpanoDalRifugioPontese/BivaccoCarpanoInterno.JPG",4,92,160),"Photo indisponible")</f>
        <v/>
      </c>
      <c r="D13" s="3" t="s">
        <v>65</v>
      </c>
      <c r="E13" s="5">
        <v>2865.0</v>
      </c>
      <c r="F13" s="3" t="s">
        <v>98</v>
      </c>
      <c r="G13" s="5">
        <v>1917.0</v>
      </c>
      <c r="H13" s="3" t="s">
        <v>99</v>
      </c>
      <c r="I13" s="5">
        <v>3.5</v>
      </c>
      <c r="J13" s="5">
        <v>948.0</v>
      </c>
      <c r="K13" s="6">
        <v>4.0</v>
      </c>
      <c r="L13" s="6">
        <v>5.0</v>
      </c>
      <c r="M13" s="6">
        <v>3.0</v>
      </c>
      <c r="N13" s="6">
        <v>4.0</v>
      </c>
      <c r="O13" s="6">
        <v>5.0</v>
      </c>
      <c r="P13" s="7">
        <f t="shared" si="1"/>
        <v>4</v>
      </c>
      <c r="Q13" s="3" t="s">
        <v>100</v>
      </c>
      <c r="R13" s="3" t="s">
        <v>101</v>
      </c>
      <c r="S13" s="4"/>
      <c r="T13" s="8" t="str">
        <f>HYPERLINK("https://www.google.com/maps/place/Bivacco+Carpano/data=!4m2!3m1!1s0x4788fdf01028c3e9:0xff8ca25aeefa7a8e","Ouvrir Maps")</f>
        <v>Ouvrir Maps</v>
      </c>
      <c r="U13" s="8" t="str">
        <f>HYPERLINK("https://www.saliinvetta.com/images/TREKKING/BivaccoCarpanoDalRifugioPontese/BivaccoCarpanoInterno.JPG","Photo HD")</f>
        <v>Photo HD</v>
      </c>
      <c r="V13" s="4"/>
      <c r="W13" s="3" t="s">
        <v>50</v>
      </c>
      <c r="X13" s="4"/>
      <c r="Y13" s="9">
        <f t="shared" si="2"/>
        <v>3.98</v>
      </c>
    </row>
    <row r="14" ht="86.25" customHeight="1">
      <c r="A14" s="3" t="s">
        <v>25</v>
      </c>
      <c r="B14" s="3" t="s">
        <v>102</v>
      </c>
      <c r="C14" s="4" t="str">
        <f>IFERROR(IMAGE("https://siviaggia.it/wp-content/uploads/sites/2/2021/11/Bivouac-fanton-DEMOGO-1020-min.jpg",4,92,160),"Photo indisponible")</f>
        <v/>
      </c>
      <c r="D14" s="3" t="s">
        <v>103</v>
      </c>
      <c r="E14" s="5">
        <v>2667.0</v>
      </c>
      <c r="F14" s="3" t="s">
        <v>104</v>
      </c>
      <c r="G14" s="5">
        <v>1110.0</v>
      </c>
      <c r="H14" s="3" t="s">
        <v>105</v>
      </c>
      <c r="I14" s="5">
        <v>4.8</v>
      </c>
      <c r="J14" s="5">
        <v>1557.0</v>
      </c>
      <c r="K14" s="6">
        <v>4.0</v>
      </c>
      <c r="L14" s="6">
        <v>5.0</v>
      </c>
      <c r="M14" s="6">
        <v>3.0</v>
      </c>
      <c r="N14" s="6">
        <v>5.0</v>
      </c>
      <c r="O14" s="6">
        <v>5.0</v>
      </c>
      <c r="P14" s="7">
        <f t="shared" si="1"/>
        <v>4</v>
      </c>
      <c r="Q14" s="3" t="s">
        <v>106</v>
      </c>
      <c r="R14" s="3" t="s">
        <v>107</v>
      </c>
      <c r="S14" s="8" t="str">
        <f>HYPERLINK("https://www.caiauronzo.it/rifugi-e-bivacchi/","Site officiel")</f>
        <v>Site officiel</v>
      </c>
      <c r="T14" s="8" t="str">
        <f>HYPERLINK("https://www.google.com/maps/place/Bivouac+Fanton/data=!4m2!3m1!1s0x4779c9fbd5ff3663:0xbd28bd99ba0025a8","Ouvrir Maps")</f>
        <v>Ouvrir Maps</v>
      </c>
      <c r="U14" s="8" t="str">
        <f>HYPERLINK("https://siviaggia.it/wp-content/uploads/sites/2/2021/11/Bivouac-fanton-DEMOGO-1020-min.jpg","Photo HD")</f>
        <v>Photo HD</v>
      </c>
      <c r="V14" s="8" t="str">
        <f>HYPERLINK("https://www.caiauronzo.it/rifugi-e-bivacchi/","Fiche source")</f>
        <v>Fiche source</v>
      </c>
      <c r="W14" s="3" t="s">
        <v>32</v>
      </c>
      <c r="X14" s="4"/>
      <c r="Y14" s="9">
        <f t="shared" si="2"/>
        <v>3.95</v>
      </c>
    </row>
    <row r="15" ht="86.25" customHeight="1">
      <c r="A15" s="3" t="s">
        <v>25</v>
      </c>
      <c r="B15" s="3" t="s">
        <v>108</v>
      </c>
      <c r="C15" s="4" t="str">
        <f>IFERROR(IMAGE("https://www.alpinewelten.com/cdn/uploads/refuge-des-grands-moulets-aussen.jpg",4,92,160),"Photo indisponible")</f>
        <v/>
      </c>
      <c r="D15" s="3" t="s">
        <v>109</v>
      </c>
      <c r="E15" s="5">
        <v>3051.0</v>
      </c>
      <c r="F15" s="3" t="s">
        <v>110</v>
      </c>
      <c r="G15" s="5">
        <v>2310.0</v>
      </c>
      <c r="H15" s="3" t="s">
        <v>111</v>
      </c>
      <c r="I15" s="5">
        <v>4.5</v>
      </c>
      <c r="J15" s="5">
        <v>741.0</v>
      </c>
      <c r="K15" s="6">
        <v>5.0</v>
      </c>
      <c r="L15" s="6">
        <v>3.0</v>
      </c>
      <c r="M15" s="6">
        <v>1.0</v>
      </c>
      <c r="N15" s="6">
        <v>5.0</v>
      </c>
      <c r="O15" s="6">
        <v>5.0</v>
      </c>
      <c r="P15" s="7">
        <f t="shared" si="1"/>
        <v>4</v>
      </c>
      <c r="Q15" s="3" t="s">
        <v>112</v>
      </c>
      <c r="R15" s="3" t="s">
        <v>113</v>
      </c>
      <c r="S15" s="4"/>
      <c r="T15" s="8" t="str">
        <f>HYPERLINK("https://www.google.com/maps/place/Refuge+des+Grands+Mulets/data=!4m2!3m1!1s0x47894f99cf5337cb:0xf13ad183daf3c8ba","Ouvrir Maps")</f>
        <v>Ouvrir Maps</v>
      </c>
      <c r="U15" s="8" t="str">
        <f>HYPERLINK("https://www.alpinewelten.com/cdn/uploads/refuge-des-grands-moulets-aussen.jpg","Photo HD")</f>
        <v>Photo HD</v>
      </c>
      <c r="V15" s="10" t="s">
        <v>114</v>
      </c>
      <c r="W15" s="3" t="s">
        <v>81</v>
      </c>
      <c r="X15" s="3" t="s">
        <v>115</v>
      </c>
      <c r="Y15" s="9">
        <f t="shared" si="2"/>
        <v>3.93</v>
      </c>
    </row>
    <row r="16" ht="86.25" customHeight="1">
      <c r="A16" s="3" t="s">
        <v>25</v>
      </c>
      <c r="B16" s="3" t="s">
        <v>116</v>
      </c>
      <c r="C16" s="8" t="str">
        <f>HYPERLINK("https://www.google.com/search?tbm=isch&amp;q=Capanna+Punta+Penia+refuge+bivouac+montagne+photo","🔎 Rechercher photo")</f>
        <v>🔎 Rechercher photo</v>
      </c>
      <c r="D16" s="3" t="s">
        <v>117</v>
      </c>
      <c r="E16" s="5">
        <v>3343.0</v>
      </c>
      <c r="F16" s="3" t="s">
        <v>118</v>
      </c>
      <c r="G16" s="5">
        <v>1950.0</v>
      </c>
      <c r="H16" s="3" t="s">
        <v>119</v>
      </c>
      <c r="I16" s="5">
        <v>5.5</v>
      </c>
      <c r="J16" s="5">
        <v>1393.0</v>
      </c>
      <c r="K16" s="6">
        <v>5.0</v>
      </c>
      <c r="L16" s="6">
        <v>3.0</v>
      </c>
      <c r="M16" s="6">
        <v>2.0</v>
      </c>
      <c r="N16" s="6">
        <v>5.0</v>
      </c>
      <c r="O16" s="6">
        <v>5.0</v>
      </c>
      <c r="P16" s="7">
        <f t="shared" si="1"/>
        <v>4</v>
      </c>
      <c r="Q16" s="3" t="s">
        <v>120</v>
      </c>
      <c r="R16" s="3" t="s">
        <v>121</v>
      </c>
      <c r="S16" s="4"/>
      <c r="T16" s="8" t="str">
        <f>HYPERLINK("https://www.google.com/maps/place/Capanna+Punta+Penia/data=!4m2!3m1!1s0x477843e651343129:0x62c147706fd242bd","Ouvrir Maps")</f>
        <v>Ouvrir Maps</v>
      </c>
      <c r="U16" s="8" t="str">
        <f>HYPERLINK("https://www.google.com/search?tbm=isch&amp;q=Capanna+Punta+Penia+refuge+bivouac+montagne+photo","Recherche photos")</f>
        <v>Recherche photos</v>
      </c>
      <c r="V16" s="4"/>
      <c r="W16" s="3" t="s">
        <v>50</v>
      </c>
      <c r="X16" s="3" t="s">
        <v>122</v>
      </c>
      <c r="Y16" s="9">
        <f t="shared" si="2"/>
        <v>3.91</v>
      </c>
    </row>
    <row r="17" ht="86.25" customHeight="1">
      <c r="A17" s="3" t="s">
        <v>25</v>
      </c>
      <c r="B17" s="3" t="s">
        <v>123</v>
      </c>
      <c r="C17" s="4" t="str">
        <f>IFERROR(IMAGE("https://www.imuntagnin.it/gallery/20251012_112034_mus2mos8.jpg",4,92,160),"Photo indisponible")</f>
        <v/>
      </c>
      <c r="D17" s="3" t="s">
        <v>58</v>
      </c>
      <c r="E17" s="5">
        <v>2995.0</v>
      </c>
      <c r="F17" s="3" t="s">
        <v>124</v>
      </c>
      <c r="G17" s="5">
        <v>2165.0</v>
      </c>
      <c r="H17" s="3" t="s">
        <v>125</v>
      </c>
      <c r="I17" s="5">
        <v>4.0</v>
      </c>
      <c r="J17" s="5">
        <v>830.0</v>
      </c>
      <c r="K17" s="6">
        <v>4.0</v>
      </c>
      <c r="L17" s="6">
        <v>4.0</v>
      </c>
      <c r="M17" s="6">
        <v>3.0</v>
      </c>
      <c r="N17" s="6">
        <v>4.0</v>
      </c>
      <c r="O17" s="6">
        <v>5.0</v>
      </c>
      <c r="P17" s="7">
        <f t="shared" si="1"/>
        <v>4</v>
      </c>
      <c r="Q17" s="3" t="s">
        <v>126</v>
      </c>
      <c r="R17" s="3" t="s">
        <v>127</v>
      </c>
      <c r="S17" s="4"/>
      <c r="T17" s="8" t="str">
        <f>HYPERLINK("https://www.google.com/maps/place/Bivacco+Sommeiller/data=!4m2!3m1!1s0x4789bfa2b6663c1d:0xe1df56a0cd234506","Ouvrir Maps")</f>
        <v>Ouvrir Maps</v>
      </c>
      <c r="U17" s="8" t="str">
        <f>HYPERLINK("https://www.google.com/search?tbm=isch&amp;q=Bivacco+Sommeiller+refuge+bivouac+montagne+photo","Recherche photos")</f>
        <v>Recherche photos</v>
      </c>
      <c r="V17" s="10" t="s">
        <v>128</v>
      </c>
      <c r="W17" s="3" t="s">
        <v>81</v>
      </c>
      <c r="X17" s="3" t="s">
        <v>63</v>
      </c>
      <c r="Y17" s="9">
        <f t="shared" si="2"/>
        <v>3.86</v>
      </c>
    </row>
    <row r="18" ht="86.25" customHeight="1">
      <c r="A18" s="3" t="s">
        <v>25</v>
      </c>
      <c r="B18" s="3" t="s">
        <v>129</v>
      </c>
      <c r="C18" s="8" t="str">
        <f>HYPERLINK("https://www.google.com/search?tbm=isch&amp;q=Bivacco+Rivolta+refuge+bivouac+montagne+photo","🔎 Rechercher photo")</f>
        <v>🔎 Rechercher photo</v>
      </c>
      <c r="D18" s="3" t="s">
        <v>130</v>
      </c>
      <c r="E18" s="5">
        <v>2906.0</v>
      </c>
      <c r="F18" s="3" t="s">
        <v>131</v>
      </c>
      <c r="G18" s="5">
        <v>2050.0</v>
      </c>
      <c r="H18" s="3" t="s">
        <v>132</v>
      </c>
      <c r="I18" s="5">
        <v>4.0</v>
      </c>
      <c r="J18" s="5">
        <v>856.0</v>
      </c>
      <c r="K18" s="6">
        <v>4.0</v>
      </c>
      <c r="L18" s="6">
        <v>4.0</v>
      </c>
      <c r="M18" s="6">
        <v>3.0</v>
      </c>
      <c r="N18" s="6">
        <v>4.0</v>
      </c>
      <c r="O18" s="6">
        <v>5.0</v>
      </c>
      <c r="P18" s="7">
        <f t="shared" si="1"/>
        <v>4</v>
      </c>
      <c r="Q18" s="3" t="s">
        <v>133</v>
      </c>
      <c r="R18" s="3" t="s">
        <v>134</v>
      </c>
      <c r="S18" s="4"/>
      <c r="T18" s="8" t="str">
        <f>HYPERLINK("https://www.google.com/maps/place/Bivacco+Rivolta/data=!4m2!3m1!1s0x4788cf94d7e7f63b:0x2b2712aa1870cc69","Ouvrir Maps")</f>
        <v>Ouvrir Maps</v>
      </c>
      <c r="U18" s="8" t="str">
        <f>HYPERLINK("https://www.google.com/search?tbm=isch&amp;q=Bivacco+Rivolta+refuge+bivouac+montagne+photo","Recherche photos")</f>
        <v>Recherche photos</v>
      </c>
      <c r="V18" s="4"/>
      <c r="W18" s="3" t="s">
        <v>50</v>
      </c>
      <c r="X18" s="3" t="s">
        <v>135</v>
      </c>
      <c r="Y18" s="9">
        <f t="shared" si="2"/>
        <v>3.84</v>
      </c>
    </row>
    <row r="19" ht="86.25" customHeight="1">
      <c r="A19" s="3" t="s">
        <v>25</v>
      </c>
      <c r="B19" s="3" t="s">
        <v>136</v>
      </c>
      <c r="C19" s="4" t="str">
        <f>IFERROR(IMAGE("https://bobine.tv/app/uploads/2023/01/BIVACCO-PASSERA-2.jpg",4,92,160),"Photo indisponible")</f>
        <v/>
      </c>
      <c r="D19" s="3" t="s">
        <v>137</v>
      </c>
      <c r="E19" s="5">
        <v>3175.0</v>
      </c>
      <c r="F19" s="3" t="s">
        <v>138</v>
      </c>
      <c r="G19" s="5">
        <v>2350.0</v>
      </c>
      <c r="H19" s="3" t="s">
        <v>139</v>
      </c>
      <c r="I19" s="5">
        <v>4.5</v>
      </c>
      <c r="J19" s="5">
        <v>825.0</v>
      </c>
      <c r="K19" s="6">
        <v>4.0</v>
      </c>
      <c r="L19" s="6">
        <v>4.0</v>
      </c>
      <c r="M19" s="6">
        <v>3.0</v>
      </c>
      <c r="N19" s="6">
        <v>4.0</v>
      </c>
      <c r="O19" s="6">
        <v>5.0</v>
      </c>
      <c r="P19" s="7">
        <f t="shared" si="1"/>
        <v>4</v>
      </c>
      <c r="Q19" s="3" t="s">
        <v>140</v>
      </c>
      <c r="R19" s="3" t="s">
        <v>141</v>
      </c>
      <c r="S19" s="4"/>
      <c r="T19" s="8" t="str">
        <f>HYPERLINK("https://www.google.com/maps/place/Bivacco+Passera+all%E2%80%99Alta+Luce/data=!4m2!3m1!1s0x4788b300528c3fa7:0xc0da6a149cdd2634","Ouvrir Maps")</f>
        <v>Ouvrir Maps</v>
      </c>
      <c r="U19" s="8" t="str">
        <f>HYPERLINK("https://www.google.com/search?tbm=isch&amp;q=Bivacco+Passera+all%E2%80%99Alta+Luce+refuge+bivouac+montagne+photo","Recherche photos")</f>
        <v>Recherche photos</v>
      </c>
      <c r="V19" s="10" t="s">
        <v>142</v>
      </c>
      <c r="W19" s="3" t="s">
        <v>81</v>
      </c>
      <c r="X19" s="3" t="s">
        <v>143</v>
      </c>
      <c r="Y19" s="9">
        <f t="shared" si="2"/>
        <v>3.81</v>
      </c>
    </row>
    <row r="20" ht="86.25" customHeight="1">
      <c r="A20" s="3" t="s">
        <v>25</v>
      </c>
      <c r="B20" s="3" t="s">
        <v>144</v>
      </c>
      <c r="C20" s="4" t="str">
        <f>IFERROR(IMAGE("https://media.myswitzerland.com/image/fetch/c_lfill%2Cg_auto%2Cw_3200%2Ch_1800/f_auto%2Cq_80%2Cfl_keep_iptc/https%3A/www.myswitzerland.com/-/media/st/gadmin/images/destinations/summer/huts/sac_bertol_2009_226886.jpg",4,92,160),"Photo indisponible")</f>
        <v/>
      </c>
      <c r="D20" s="3" t="s">
        <v>145</v>
      </c>
      <c r="E20" s="5">
        <v>3311.0</v>
      </c>
      <c r="F20" s="3" t="s">
        <v>146</v>
      </c>
      <c r="G20" s="5">
        <v>1968.0</v>
      </c>
      <c r="H20" s="3" t="s">
        <v>29</v>
      </c>
      <c r="I20" s="5">
        <v>4.3</v>
      </c>
      <c r="J20" s="5">
        <v>1343.0</v>
      </c>
      <c r="K20" s="6">
        <v>4.0</v>
      </c>
      <c r="L20" s="6">
        <v>4.0</v>
      </c>
      <c r="M20" s="6">
        <v>2.0</v>
      </c>
      <c r="N20" s="6">
        <v>5.0</v>
      </c>
      <c r="O20" s="6">
        <v>5.0</v>
      </c>
      <c r="P20" s="7">
        <f t="shared" si="1"/>
        <v>4</v>
      </c>
      <c r="Q20" s="3" t="s">
        <v>147</v>
      </c>
      <c r="R20" s="3" t="s">
        <v>148</v>
      </c>
      <c r="S20" s="8" t="str">
        <f>HYPERLINK("https://www.sac-cas.ch/fr/cabanes-et-courses/portail-des-courses-du-cas/cabane-de-bertol-cas-2147000031/","Site officiel")</f>
        <v>Site officiel</v>
      </c>
      <c r="T20" s="8" t="str">
        <f>HYPERLINK("https://www.google.com/maps/place/Bertol+Hut/data=!4m2!3m1!1s0x478f2c5a4cdb8d19:0x5f35e0415c90d466","Ouvrir Maps")</f>
        <v>Ouvrir Maps</v>
      </c>
      <c r="U20" s="8" t="str">
        <f>HYPERLINK("https://media.myswitzerland.com/image/fetch/c_lfill%2Cg_auto%2Cw_3200%2Ch_1800/f_auto%2Cq_80%2Cfl_keep_iptc/https%3A/www.myswitzerland.com/-/media/st/gadmin/images/destinations/summer/huts/sac_bertol_2009_226886.jpg","Photo HD")</f>
        <v>Photo HD</v>
      </c>
      <c r="V20" s="10" t="s">
        <v>149</v>
      </c>
      <c r="W20" s="3" t="s">
        <v>81</v>
      </c>
      <c r="X20" s="3" t="s">
        <v>115</v>
      </c>
      <c r="Y20" s="9">
        <f t="shared" si="2"/>
        <v>3.8</v>
      </c>
    </row>
    <row r="21" ht="86.25" customHeight="1">
      <c r="A21" s="3" t="s">
        <v>25</v>
      </c>
      <c r="B21" s="3" t="s">
        <v>150</v>
      </c>
      <c r="C21" s="8" t="str">
        <f>HYPERLINK("https://www.google.com/search?tbm=isch&amp;q=Rifugio+Chiarella+Amiante+refuge+bivouac+montagne+photo","🔎 Rechercher photo")</f>
        <v>🔎 Rechercher photo</v>
      </c>
      <c r="D21" s="3" t="s">
        <v>151</v>
      </c>
      <c r="E21" s="5">
        <v>2979.0</v>
      </c>
      <c r="F21" s="3" t="s">
        <v>152</v>
      </c>
      <c r="G21" s="5">
        <v>1540.0</v>
      </c>
      <c r="H21" s="3" t="s">
        <v>153</v>
      </c>
      <c r="I21" s="5">
        <v>4.5</v>
      </c>
      <c r="J21" s="5">
        <v>1439.0</v>
      </c>
      <c r="K21" s="6">
        <v>4.0</v>
      </c>
      <c r="L21" s="6">
        <v>4.0</v>
      </c>
      <c r="M21" s="6">
        <v>3.0</v>
      </c>
      <c r="N21" s="6">
        <v>4.0</v>
      </c>
      <c r="O21" s="6">
        <v>5.0</v>
      </c>
      <c r="P21" s="7">
        <f t="shared" si="1"/>
        <v>4</v>
      </c>
      <c r="Q21" s="3" t="s">
        <v>154</v>
      </c>
      <c r="R21" s="3" t="s">
        <v>155</v>
      </c>
      <c r="S21" s="8" t="str">
        <f>HYPERLINK("https://www.caitorino.it/rifugi/chiarella/","Site officiel")</f>
        <v>Site officiel</v>
      </c>
      <c r="T21" s="8" t="str">
        <f>HYPERLINK("https://www.google.com/maps/place/Rifugio+Chiarella+Amiante/data=!4m2!3m1!1s0x47892bef3e399761:0x1c3e76e1e7c019cb","Ouvrir Maps")</f>
        <v>Ouvrir Maps</v>
      </c>
      <c r="U21" s="8" t="str">
        <f>HYPERLINK("https://www.google.com/search?tbm=isch&amp;q=Rifugio+Chiarella+Amiante+refuge+bivouac+montagne+photo","Recherche photos")</f>
        <v>Recherche photos</v>
      </c>
      <c r="V21" s="8" t="str">
        <f>HYPERLINK("https://www.caitorino.it/itinerari/accesso-al-rifugio-chiarella-allamianthe","Fiche source")</f>
        <v>Fiche source</v>
      </c>
      <c r="W21" s="3" t="s">
        <v>32</v>
      </c>
      <c r="X21" s="3" t="s">
        <v>156</v>
      </c>
      <c r="Y21" s="9">
        <f t="shared" si="2"/>
        <v>3.8</v>
      </c>
    </row>
    <row r="22" ht="86.25" customHeight="1">
      <c r="A22" s="3" t="s">
        <v>25</v>
      </c>
      <c r="B22" s="3" t="s">
        <v>157</v>
      </c>
      <c r="C22" s="8" t="str">
        <f>HYPERLINK("https://www.google.com/search?tbm=isch&amp;q=Bivacco+Antigine+refuge+bivouac+montagne+photo","🔎 Rechercher photo")</f>
        <v>🔎 Rechercher photo</v>
      </c>
      <c r="D22" s="3" t="s">
        <v>92</v>
      </c>
      <c r="E22" s="5">
        <v>2855.0</v>
      </c>
      <c r="F22" s="3" t="s">
        <v>158</v>
      </c>
      <c r="G22" s="5">
        <v>1350.0</v>
      </c>
      <c r="H22" s="3" t="s">
        <v>94</v>
      </c>
      <c r="I22" s="5">
        <v>4.0</v>
      </c>
      <c r="J22" s="5">
        <v>1505.0</v>
      </c>
      <c r="K22" s="6">
        <v>3.0</v>
      </c>
      <c r="L22" s="6">
        <v>5.0</v>
      </c>
      <c r="M22" s="6">
        <v>4.0</v>
      </c>
      <c r="N22" s="6">
        <v>4.0</v>
      </c>
      <c r="O22" s="6">
        <v>5.0</v>
      </c>
      <c r="P22" s="7">
        <f t="shared" si="1"/>
        <v>4</v>
      </c>
      <c r="Q22" s="3" t="s">
        <v>159</v>
      </c>
      <c r="R22" s="3" t="s">
        <v>160</v>
      </c>
      <c r="S22" s="8" t="str">
        <f>HYPERLINK("https://www.comune.antronaschieranco.vb.it/en-us/vivere-il-comune/dove-dormire/bivacco-antigine-2855-mt-22331-1-00e0a8085a4169b89888efa07cdbac84","Site officiel")</f>
        <v>Site officiel</v>
      </c>
      <c r="T22" s="8" t="str">
        <f>HYPERLINK("https://www.google.com/maps/place/Bivacco+Antigine/data=!4m2!3m1!1s0x478f5185ae5874b5:0xf4ce773cf08a93ba","Ouvrir Maps")</f>
        <v>Ouvrir Maps</v>
      </c>
      <c r="U22" s="8" t="str">
        <f>HYPERLINK("https://www.google.com/search?tbm=isch&amp;q=Bivacco+Antigine+refuge+bivouac+montagne+photo","Recherche photos")</f>
        <v>Recherche photos</v>
      </c>
      <c r="V22" s="8" t="str">
        <f>HYPERLINK("https://www.comune.antronaschieranco.vb.it/en-us/vivere-il-comune/dove-dormire/bivacco-antigine-2855-mt-22331-1-00e0a8085a4169b89888efa07cdbac84","Fiche source")</f>
        <v>Fiche source</v>
      </c>
      <c r="W22" s="3" t="s">
        <v>32</v>
      </c>
      <c r="X22" s="4"/>
      <c r="Y22" s="9">
        <f t="shared" si="2"/>
        <v>3.7</v>
      </c>
    </row>
    <row r="23" ht="86.25" customHeight="1">
      <c r="A23" s="3" t="s">
        <v>25</v>
      </c>
      <c r="B23" s="3" t="s">
        <v>161</v>
      </c>
      <c r="C23" s="4" t="str">
        <f>IFERROR(IMAGE("https://geotrek-admin.ecrins-parcnational.fr/media/paperclip/tourism_touristiccontent/1622/9528150.jpg",4,92,160),"Photo indisponible")</f>
        <v/>
      </c>
      <c r="D23" s="3" t="s">
        <v>162</v>
      </c>
      <c r="E23" s="5">
        <v>2550.0</v>
      </c>
      <c r="F23" s="3" t="s">
        <v>163</v>
      </c>
      <c r="G23" s="5">
        <v>1407.0</v>
      </c>
      <c r="H23" s="3" t="s">
        <v>86</v>
      </c>
      <c r="I23" s="5">
        <v>4.0</v>
      </c>
      <c r="J23" s="5">
        <v>1143.0</v>
      </c>
      <c r="K23" s="6">
        <v>3.0</v>
      </c>
      <c r="L23" s="6">
        <v>5.0</v>
      </c>
      <c r="M23" s="6">
        <v>3.0</v>
      </c>
      <c r="N23" s="6">
        <v>4.0</v>
      </c>
      <c r="O23" s="6">
        <v>5.0</v>
      </c>
      <c r="P23" s="7">
        <f t="shared" si="1"/>
        <v>4</v>
      </c>
      <c r="Q23" s="3" t="s">
        <v>164</v>
      </c>
      <c r="R23" s="3" t="s">
        <v>165</v>
      </c>
      <c r="S23" s="4"/>
      <c r="T23" s="8" t="str">
        <f>HYPERLINK("https://www.google.com/maps/place/Refuge+Bivouac+de+Chalance/data=!4m2!3m1!1s0x478a080923a59a67:0x297c7a8b6d203245","Ouvrir Maps")</f>
        <v>Ouvrir Maps</v>
      </c>
      <c r="U23" s="8" t="str">
        <f>HYPERLINK("https://www.google.com/search?tbm=isch&amp;q=Refuge+Bivouac+de+Chalance+refuge+bivouac+montagne+photo","Recherche photos")</f>
        <v>Recherche photos</v>
      </c>
      <c r="V23" s="10" t="s">
        <v>166</v>
      </c>
      <c r="W23" s="3" t="s">
        <v>81</v>
      </c>
      <c r="X23" s="3" t="s">
        <v>63</v>
      </c>
      <c r="Y23" s="9">
        <f t="shared" si="2"/>
        <v>3.67</v>
      </c>
    </row>
    <row r="24" ht="86.25" customHeight="1">
      <c r="A24" s="3" t="s">
        <v>25</v>
      </c>
      <c r="B24" s="3" t="s">
        <v>167</v>
      </c>
      <c r="C24" s="8" t="str">
        <f>HYPERLINK("https://www.google.com/search?tbm=isch&amp;q=Bivacco+Walter+Blais+refuge+bivouac+montagne+photo","🔎 Rechercher photo")</f>
        <v>🔎 Rechercher photo</v>
      </c>
      <c r="D24" s="3" t="s">
        <v>168</v>
      </c>
      <c r="E24" s="5">
        <v>2925.0</v>
      </c>
      <c r="F24" s="3" t="s">
        <v>169</v>
      </c>
      <c r="G24" s="5">
        <v>1849.0</v>
      </c>
      <c r="H24" s="3" t="s">
        <v>170</v>
      </c>
      <c r="I24" s="5">
        <v>3.5</v>
      </c>
      <c r="J24" s="5">
        <v>1076.0</v>
      </c>
      <c r="K24" s="6">
        <v>3.0</v>
      </c>
      <c r="L24" s="6">
        <v>5.0</v>
      </c>
      <c r="M24" s="6">
        <v>4.0</v>
      </c>
      <c r="N24" s="6">
        <v>4.0</v>
      </c>
      <c r="O24" s="6">
        <v>4.0</v>
      </c>
      <c r="P24" s="7">
        <f t="shared" si="1"/>
        <v>4</v>
      </c>
      <c r="Q24" s="3" t="s">
        <v>171</v>
      </c>
      <c r="R24" s="3" t="s">
        <v>172</v>
      </c>
      <c r="S24" s="4"/>
      <c r="T24" s="8" t="str">
        <f>HYPERLINK("https://www.google.com/maps/place/Bivacco+Walter+Blais/data=!4m2!3m1!1s0x4789befb9ca2f5ad:0x86d84408f92cc513","Ouvrir Maps")</f>
        <v>Ouvrir Maps</v>
      </c>
      <c r="U24" s="8" t="str">
        <f>HYPERLINK("https://www.google.com/search?tbm=isch&amp;q=Bivacco+Walter+Blais+refuge+bivouac+montagne+photo","Recherche photos")</f>
        <v>Recherche photos</v>
      </c>
      <c r="V24" s="10" t="s">
        <v>173</v>
      </c>
      <c r="W24" s="3" t="s">
        <v>81</v>
      </c>
      <c r="X24" s="4"/>
      <c r="Y24" s="9">
        <f t="shared" si="2"/>
        <v>3.66</v>
      </c>
    </row>
    <row r="25" ht="86.25" customHeight="1">
      <c r="A25" s="3" t="s">
        <v>25</v>
      </c>
      <c r="B25" s="3" t="s">
        <v>174</v>
      </c>
      <c r="C25" s="8" t="str">
        <f>HYPERLINK("https://www.google.com/search?tbm=isch&amp;q=Rifugio+Monzino+refuge+bivouac+montagne+photo","🔎 Rechercher photo")</f>
        <v>🔎 Rechercher photo</v>
      </c>
      <c r="D25" s="3" t="s">
        <v>175</v>
      </c>
      <c r="E25" s="5">
        <v>2561.0</v>
      </c>
      <c r="F25" s="3" t="s">
        <v>176</v>
      </c>
      <c r="G25" s="5">
        <v>1560.0</v>
      </c>
      <c r="H25" s="3" t="s">
        <v>132</v>
      </c>
      <c r="I25" s="5">
        <v>3.5</v>
      </c>
      <c r="J25" s="5">
        <v>1001.0</v>
      </c>
      <c r="K25" s="6">
        <v>4.0</v>
      </c>
      <c r="L25" s="6">
        <v>3.0</v>
      </c>
      <c r="M25" s="6">
        <v>1.0</v>
      </c>
      <c r="N25" s="6">
        <v>5.0</v>
      </c>
      <c r="O25" s="6">
        <v>5.0</v>
      </c>
      <c r="P25" s="7">
        <f t="shared" si="1"/>
        <v>4</v>
      </c>
      <c r="Q25" s="3" t="s">
        <v>177</v>
      </c>
      <c r="R25" s="3" t="s">
        <v>178</v>
      </c>
      <c r="S25" s="8" t="str">
        <f>HYPERLINK("https://www.rifugiomonzino.com/Accesso.php","Site officiel")</f>
        <v>Site officiel</v>
      </c>
      <c r="T25" s="8" t="str">
        <f>HYPERLINK("https://www.google.com/maps/place/Rifugio+Monzino/data=!4m2!3m1!1s0x4789474238b654f1:0xeb468b36f298494d","Ouvrir Maps")</f>
        <v>Ouvrir Maps</v>
      </c>
      <c r="U25" s="8" t="str">
        <f>HYPERLINK("https://www.google.com/search?tbm=isch&amp;q=Rifugio+Monzino+refuge+bivouac+montagne+photo","Recherche photos")</f>
        <v>Recherche photos</v>
      </c>
      <c r="V25" s="8" t="str">
        <f>HYPERLINK("https://www.rifugiomonzino.com/Accesso.php","Fiche source")</f>
        <v>Fiche source</v>
      </c>
      <c r="W25" s="3" t="s">
        <v>32</v>
      </c>
      <c r="X25" s="4"/>
      <c r="Y25" s="9">
        <f t="shared" si="2"/>
        <v>3.63</v>
      </c>
    </row>
    <row r="26" ht="86.25" customHeight="1">
      <c r="A26" s="3" t="s">
        <v>25</v>
      </c>
      <c r="B26" s="3" t="s">
        <v>179</v>
      </c>
      <c r="C26" s="8" t="str">
        <f>HYPERLINK("https://www.google.com/search?tbm=isch&amp;q=Refuge+des+Dents+du+Midi+refuge+bivouac+montagne+photo","🔎 Rechercher photo")</f>
        <v>🔎 Rechercher photo</v>
      </c>
      <c r="D26" s="3" t="s">
        <v>180</v>
      </c>
      <c r="E26" s="5">
        <v>2884.0</v>
      </c>
      <c r="F26" s="3" t="s">
        <v>181</v>
      </c>
      <c r="G26" s="5">
        <v>1640.0</v>
      </c>
      <c r="H26" s="3" t="s">
        <v>182</v>
      </c>
      <c r="I26" s="5">
        <v>4.0</v>
      </c>
      <c r="J26" s="5">
        <v>1244.0</v>
      </c>
      <c r="K26" s="6">
        <v>3.0</v>
      </c>
      <c r="L26" s="6">
        <v>4.0</v>
      </c>
      <c r="M26" s="6">
        <v>3.0</v>
      </c>
      <c r="N26" s="6">
        <v>5.0</v>
      </c>
      <c r="O26" s="6">
        <v>5.0</v>
      </c>
      <c r="P26" s="7">
        <f t="shared" si="1"/>
        <v>4</v>
      </c>
      <c r="Q26" s="3" t="s">
        <v>183</v>
      </c>
      <c r="R26" s="3" t="s">
        <v>184</v>
      </c>
      <c r="S26" s="4"/>
      <c r="T26" s="8" t="str">
        <f>HYPERLINK("https://www.google.com/maps/place/Refuge+des+Dents+du+Midi/data=!4m2!3m1!1s0x478eba8921faeaf7:0x6b799d45f53a6421","Ouvrir Maps")</f>
        <v>Ouvrir Maps</v>
      </c>
      <c r="U26" s="8" t="str">
        <f>HYPERLINK("https://www.google.com/search?tbm=isch&amp;q=Refuge+des+Dents+du+Midi+refuge+bivouac+montagne+photo","Recherche photos")</f>
        <v>Recherche photos</v>
      </c>
      <c r="V26" s="4"/>
      <c r="W26" s="3" t="s">
        <v>50</v>
      </c>
      <c r="X26" s="4"/>
      <c r="Y26" s="9">
        <f t="shared" si="2"/>
        <v>3.63</v>
      </c>
    </row>
    <row r="27" ht="86.25" customHeight="1">
      <c r="A27" s="3" t="s">
        <v>25</v>
      </c>
      <c r="B27" s="3" t="s">
        <v>185</v>
      </c>
      <c r="C27" s="8" t="str">
        <f>HYPERLINK("https://www.google.com/search?tbm=isch&amp;q=Bivacco+Penne+Nere+refuge+bivouac+montagne+photo","🔎 Rechercher photo")</f>
        <v>🔎 Rechercher photo</v>
      </c>
      <c r="D27" s="3" t="s">
        <v>186</v>
      </c>
      <c r="E27" s="5">
        <v>2730.0</v>
      </c>
      <c r="F27" s="3" t="s">
        <v>187</v>
      </c>
      <c r="G27" s="5">
        <v>1630.0</v>
      </c>
      <c r="H27" s="3" t="s">
        <v>67</v>
      </c>
      <c r="I27" s="5">
        <v>3.0</v>
      </c>
      <c r="J27" s="5">
        <v>1100.0</v>
      </c>
      <c r="K27" s="6">
        <v>3.0</v>
      </c>
      <c r="L27" s="6">
        <v>4.0</v>
      </c>
      <c r="M27" s="6">
        <v>3.0</v>
      </c>
      <c r="N27" s="6">
        <v>4.0</v>
      </c>
      <c r="O27" s="6">
        <v>5.0</v>
      </c>
      <c r="P27" s="7">
        <f t="shared" si="1"/>
        <v>4</v>
      </c>
      <c r="Q27" s="3" t="s">
        <v>188</v>
      </c>
      <c r="R27" s="3" t="s">
        <v>189</v>
      </c>
      <c r="S27" s="4"/>
      <c r="T27" s="8" t="str">
        <f>HYPERLINK("https://www.google.com/maps/place/Bivacco+Penne+Nere/data=!4m2!3m1!1s0x4788d86c7686f131:0xbc680ca6b8181d43","Ouvrir Maps")</f>
        <v>Ouvrir Maps</v>
      </c>
      <c r="U27" s="8" t="str">
        <f>HYPERLINK("https://www.google.com/search?tbm=isch&amp;q=Bivacco+Penne+Nere+refuge+bivouac+montagne+photo","Recherche photos")</f>
        <v>Recherche photos</v>
      </c>
      <c r="V27" s="4"/>
      <c r="W27" s="3" t="s">
        <v>50</v>
      </c>
      <c r="X27" s="3" t="s">
        <v>190</v>
      </c>
      <c r="Y27" s="9">
        <f t="shared" si="2"/>
        <v>3.55</v>
      </c>
    </row>
    <row r="28" ht="86.25" customHeight="1">
      <c r="A28" s="3" t="s">
        <v>25</v>
      </c>
      <c r="B28" s="3" t="s">
        <v>191</v>
      </c>
      <c r="C28" s="4" t="str">
        <f>IFERROR(IMAGE("https://www.sac-cas.ch/processed/sa2020assetsprod/1/6/csm_1552317828_553814119master_eac9d85b02.jpg",4,92,160),"Photo indisponible")</f>
        <v/>
      </c>
      <c r="D28" s="3" t="s">
        <v>192</v>
      </c>
      <c r="E28" s="5">
        <v>3340.0</v>
      </c>
      <c r="F28" s="3" t="s">
        <v>193</v>
      </c>
      <c r="G28" s="5">
        <v>2350.0</v>
      </c>
      <c r="H28" s="3" t="s">
        <v>36</v>
      </c>
      <c r="I28" s="5">
        <v>4.0</v>
      </c>
      <c r="J28" s="5">
        <v>990.0</v>
      </c>
      <c r="K28" s="6">
        <v>4.0</v>
      </c>
      <c r="L28" s="6">
        <v>3.0</v>
      </c>
      <c r="M28" s="6">
        <v>1.0</v>
      </c>
      <c r="N28" s="6">
        <v>5.0</v>
      </c>
      <c r="O28" s="6">
        <v>5.0</v>
      </c>
      <c r="P28" s="7">
        <f t="shared" si="1"/>
        <v>4</v>
      </c>
      <c r="Q28" s="3" t="s">
        <v>194</v>
      </c>
      <c r="R28" s="3" t="s">
        <v>195</v>
      </c>
      <c r="S28" s="8" t="str">
        <f>HYPERLINK("https://www.mischabelhuette.ch/kopie-von-home","Site officiel")</f>
        <v>Site officiel</v>
      </c>
      <c r="T28" s="8" t="str">
        <f>HYPERLINK("https://www.google.com/maps/place/Mischabelh%C3%BCtte+AACZ/data=!4m2!3m1!1s0x478f460b2c84b941:0x8bf5d14be5139dfe","Ouvrir Maps")</f>
        <v>Ouvrir Maps</v>
      </c>
      <c r="U28" s="8" t="str">
        <f>HYPERLINK("https://www.sac-cas.ch/processed/sa2020assetsprod/1/6/csm_1552317828_553814119master_eac9d85b02.jpg","Photo HD")</f>
        <v>Photo HD</v>
      </c>
      <c r="V28" s="8" t="str">
        <f>HYPERLINK("https://www.saas-fee.ch/en/accommodations/mountain-huts/mischabelhuette","Fiche source")</f>
        <v>Fiche source</v>
      </c>
      <c r="W28" s="3" t="s">
        <v>32</v>
      </c>
      <c r="X28" s="4"/>
      <c r="Y28" s="9">
        <f t="shared" si="2"/>
        <v>3.54</v>
      </c>
    </row>
    <row r="29" ht="86.25" customHeight="1">
      <c r="A29" s="3" t="s">
        <v>25</v>
      </c>
      <c r="B29" s="3" t="s">
        <v>196</v>
      </c>
      <c r="C29" s="4" t="str">
        <f>IFERROR(IMAGE("https://www.clubalpinoaccademico.it/media/k2/items/cache/f7abac252ae5ed68121b92ba7a669d87_XL.jpg",4,92,160),"Photo indisponible")</f>
        <v/>
      </c>
      <c r="D29" s="3" t="s">
        <v>175</v>
      </c>
      <c r="E29" s="5">
        <v>2735.0</v>
      </c>
      <c r="F29" s="3" t="s">
        <v>197</v>
      </c>
      <c r="G29" s="5">
        <v>1775.0</v>
      </c>
      <c r="H29" s="3" t="s">
        <v>132</v>
      </c>
      <c r="I29" s="5">
        <v>3.5</v>
      </c>
      <c r="J29" s="5">
        <v>960.0</v>
      </c>
      <c r="K29" s="6">
        <v>3.0</v>
      </c>
      <c r="L29" s="6">
        <v>4.0</v>
      </c>
      <c r="M29" s="6">
        <v>3.0</v>
      </c>
      <c r="N29" s="6">
        <v>4.0</v>
      </c>
      <c r="O29" s="6">
        <v>5.0</v>
      </c>
      <c r="P29" s="7">
        <f t="shared" si="1"/>
        <v>4</v>
      </c>
      <c r="Q29" s="3" t="s">
        <v>198</v>
      </c>
      <c r="R29" s="3" t="s">
        <v>199</v>
      </c>
      <c r="S29" s="4"/>
      <c r="T29" s="8" t="str">
        <f>HYPERLINK("https://www.google.com/maps/place/Bivacco+Fiorio/data=!4m2!3m1!1s0x4789373670821e3f:0x1eaa7200d33e9907","Ouvrir Maps")</f>
        <v>Ouvrir Maps</v>
      </c>
      <c r="U29" s="8" t="str">
        <f>HYPERLINK("https://www.google.com/search?tbm=isch&amp;q=Bivacco+Fiorio+refuge+bivouac+montagne+photo","Recherche photos")</f>
        <v>Recherche photos</v>
      </c>
      <c r="V29" s="10" t="s">
        <v>200</v>
      </c>
      <c r="W29" s="3" t="s">
        <v>81</v>
      </c>
      <c r="X29" s="4"/>
      <c r="Y29" s="9">
        <f t="shared" si="2"/>
        <v>3.53</v>
      </c>
    </row>
    <row r="30" ht="86.25" customHeight="1">
      <c r="A30" s="3" t="s">
        <v>25</v>
      </c>
      <c r="B30" s="3" t="s">
        <v>201</v>
      </c>
      <c r="C30" s="4" t="str">
        <f>IFERROR(IMAGE("https://cdn.prod.rexby.com/image/6d46892854d1422291b303faa3669de5",4,92,160),"Photo indisponible")</f>
        <v/>
      </c>
      <c r="D30" s="3" t="s">
        <v>202</v>
      </c>
      <c r="E30" s="5">
        <v>2670.0</v>
      </c>
      <c r="F30" s="3" t="s">
        <v>203</v>
      </c>
      <c r="G30" s="5">
        <v>1600.0</v>
      </c>
      <c r="H30" s="3" t="s">
        <v>204</v>
      </c>
      <c r="I30" s="5">
        <v>3.5</v>
      </c>
      <c r="J30" s="5">
        <v>1070.0</v>
      </c>
      <c r="K30" s="6">
        <v>3.0</v>
      </c>
      <c r="L30" s="6">
        <v>4.0</v>
      </c>
      <c r="M30" s="6">
        <v>3.0</v>
      </c>
      <c r="N30" s="6">
        <v>4.0</v>
      </c>
      <c r="O30" s="6">
        <v>5.0</v>
      </c>
      <c r="P30" s="7">
        <f t="shared" si="1"/>
        <v>4</v>
      </c>
      <c r="Q30" s="3" t="s">
        <v>205</v>
      </c>
      <c r="R30" s="3" t="s">
        <v>206</v>
      </c>
      <c r="S30" s="4"/>
      <c r="T30" s="8" t="str">
        <f>HYPERLINK("https://www.google.com/maps/place/Bivouac+du+Dolent+CAS/data=!4m2!3m1!1s0x478934330ced8179:0x240c8ddefb767b9c","Ouvrir Maps")</f>
        <v>Ouvrir Maps</v>
      </c>
      <c r="U30" s="8" t="str">
        <f>HYPERLINK("https://cdn.prod.rexby.com/image/6d46892854d1422291b303faa3669de5","Photo HD")</f>
        <v>Photo HD</v>
      </c>
      <c r="V30" s="4"/>
      <c r="W30" s="3" t="s">
        <v>32</v>
      </c>
      <c r="X30" s="3" t="s">
        <v>63</v>
      </c>
      <c r="Y30" s="9">
        <f t="shared" si="2"/>
        <v>3.5</v>
      </c>
    </row>
    <row r="31" ht="86.25" customHeight="1">
      <c r="A31" s="3" t="s">
        <v>25</v>
      </c>
      <c r="B31" s="3" t="s">
        <v>207</v>
      </c>
      <c r="C31" s="8" t="str">
        <f>HYPERLINK("https://www.google.com/search?tbm=isch&amp;q=Cabane+de+Valsorey+CAS+refuge+bivouac+montagne+photo","🔎 Rechercher photo")</f>
        <v>🔎 Rechercher photo</v>
      </c>
      <c r="D31" s="3" t="s">
        <v>208</v>
      </c>
      <c r="E31" s="5">
        <v>3032.0</v>
      </c>
      <c r="F31" s="3" t="s">
        <v>209</v>
      </c>
      <c r="G31" s="5">
        <v>1640.0</v>
      </c>
      <c r="H31" s="3" t="s">
        <v>210</v>
      </c>
      <c r="I31" s="5">
        <v>4.8</v>
      </c>
      <c r="J31" s="5">
        <v>1392.0</v>
      </c>
      <c r="K31" s="6">
        <v>3.0</v>
      </c>
      <c r="L31" s="6">
        <v>4.0</v>
      </c>
      <c r="M31" s="6">
        <v>2.0</v>
      </c>
      <c r="N31" s="6">
        <v>5.0</v>
      </c>
      <c r="O31" s="6">
        <v>5.0</v>
      </c>
      <c r="P31" s="7">
        <f t="shared" si="1"/>
        <v>3</v>
      </c>
      <c r="Q31" s="3" t="s">
        <v>211</v>
      </c>
      <c r="R31" s="3" t="s">
        <v>212</v>
      </c>
      <c r="S31" s="8" t="str">
        <f>HYPERLINK("https://www.valsorey.ch/fr/acceder-cabane","Site officiel")</f>
        <v>Site officiel</v>
      </c>
      <c r="T31" s="8" t="str">
        <f>HYPERLINK("https://www.google.com/maps/place/Cabane+de+Valsorey+CAS/data=!4m2!3m1!1s0x47892c67fe82d707:0x7db81d6a1bea6af7","Ouvrir Maps")</f>
        <v>Ouvrir Maps</v>
      </c>
      <c r="U31" s="8" t="str">
        <f>HYPERLINK("https://www.google.com/search?tbm=isch&amp;q=Cabane+de+Valsorey+CAS+refuge+bivouac+montagne+photo","Recherche photos")</f>
        <v>Recherche photos</v>
      </c>
      <c r="V31" s="8" t="str">
        <f>HYPERLINK("https://www.sac-cas.ch/fr/cabanes-et-courses/portail-des-courses-du-cas/cabane-de-valsorey-cas-2147000282/","Fiche source")</f>
        <v>Fiche source</v>
      </c>
      <c r="W31" s="3" t="s">
        <v>32</v>
      </c>
      <c r="X31" s="3" t="s">
        <v>213</v>
      </c>
      <c r="Y31" s="9">
        <f t="shared" si="2"/>
        <v>3.49</v>
      </c>
    </row>
    <row r="32" ht="86.25" customHeight="1">
      <c r="A32" s="3" t="s">
        <v>25</v>
      </c>
      <c r="B32" s="3" t="s">
        <v>214</v>
      </c>
      <c r="C32" s="8" t="str">
        <f>HYPERLINK("https://www.google.com/search?tbm=isch&amp;q=Bivacco+Ulrich+Lateltin+refuge+bivouac+montagne+photo","🔎 Rechercher photo")</f>
        <v>🔎 Rechercher photo</v>
      </c>
      <c r="D32" s="3" t="s">
        <v>215</v>
      </c>
      <c r="E32" s="5">
        <v>3132.0</v>
      </c>
      <c r="F32" s="3" t="s">
        <v>216</v>
      </c>
      <c r="G32" s="5">
        <v>1568.0</v>
      </c>
      <c r="H32" s="3" t="s">
        <v>217</v>
      </c>
      <c r="I32" s="5">
        <v>4.0</v>
      </c>
      <c r="J32" s="5">
        <v>1564.0</v>
      </c>
      <c r="K32" s="6">
        <v>3.0</v>
      </c>
      <c r="L32" s="6">
        <v>4.0</v>
      </c>
      <c r="M32" s="6">
        <v>3.0</v>
      </c>
      <c r="N32" s="6">
        <v>4.0</v>
      </c>
      <c r="O32" s="6">
        <v>5.0</v>
      </c>
      <c r="P32" s="7">
        <f t="shared" si="1"/>
        <v>3</v>
      </c>
      <c r="Q32" s="3" t="s">
        <v>218</v>
      </c>
      <c r="R32" s="3" t="s">
        <v>219</v>
      </c>
      <c r="S32" s="8" t="str">
        <f>HYPERLINK("https://www.lovevda.it/en/database/7/bivouacs/gressoney-saint-jean/ulrich-lateltin-bivouac/2921","Site officiel")</f>
        <v>Site officiel</v>
      </c>
      <c r="T32" s="8" t="str">
        <f>HYPERLINK("https://www.google.com/maps/place/Bivacco+Ulrich+Lateltin/data=!4m2!3m1!1s0x4788b7226d16df55:0x645217a9a7dbd363","Ouvrir Maps")</f>
        <v>Ouvrir Maps</v>
      </c>
      <c r="U32" s="8" t="str">
        <f>HYPERLINK("https://www.google.com/search?tbm=isch&amp;q=Bivacco+Ulrich+Lateltin+refuge+bivouac+montagne+photo","Recherche photos")</f>
        <v>Recherche photos</v>
      </c>
      <c r="V32" s="8" t="str">
        <f>HYPERLINK("https://www.lovevda.it/en/database/7/bivouacs/gressoney-saint-jean/ulrich-lateltin-bivouac/2921","Fiche source")</f>
        <v>Fiche source</v>
      </c>
      <c r="W32" s="3" t="s">
        <v>32</v>
      </c>
      <c r="X32" s="4"/>
      <c r="Y32" s="9">
        <f t="shared" si="2"/>
        <v>3.49</v>
      </c>
    </row>
    <row r="33" ht="86.25" customHeight="1">
      <c r="A33" s="3" t="s">
        <v>25</v>
      </c>
      <c r="B33" s="3" t="s">
        <v>220</v>
      </c>
      <c r="C33" s="4" t="str">
        <f>IFERROR(IMAGE("https://www.sac-cas.ch/processed/sa2020assetsprod/0/2/csm_1623330332_1114747699master_4f4b2a7851.jpg",4,92,160),"Photo indisponible")</f>
        <v/>
      </c>
      <c r="D33" s="3" t="s">
        <v>40</v>
      </c>
      <c r="E33" s="5">
        <v>2783.0</v>
      </c>
      <c r="F33" s="3" t="s">
        <v>41</v>
      </c>
      <c r="G33" s="5">
        <v>970.0</v>
      </c>
      <c r="H33" s="3" t="s">
        <v>36</v>
      </c>
      <c r="I33" s="5">
        <v>6.5</v>
      </c>
      <c r="J33" s="5">
        <v>1813.0</v>
      </c>
      <c r="K33" s="6">
        <v>2.0</v>
      </c>
      <c r="L33" s="6">
        <v>5.0</v>
      </c>
      <c r="M33" s="6">
        <v>4.0</v>
      </c>
      <c r="N33" s="6">
        <v>5.0</v>
      </c>
      <c r="O33" s="6">
        <v>5.0</v>
      </c>
      <c r="P33" s="7">
        <f t="shared" si="1"/>
        <v>3</v>
      </c>
      <c r="Q33" s="3" t="s">
        <v>221</v>
      </c>
      <c r="R33" s="3" t="s">
        <v>222</v>
      </c>
      <c r="S33" s="8" t="str">
        <f>HYPERLINK("https://www.sac-cas.ch/fr/cabanes-et-courses/portail-des-courses-du-cas/baltschiederklause-sac-2147000025/","Site officiel")</f>
        <v>Site officiel</v>
      </c>
      <c r="T33" s="8" t="str">
        <f>HYPERLINK("https://www.google.com/maps/place/Baltschiederklause+SAC/data=!4m2!3m1!1s0x478f6d5760f935a1:0xe6a10355e732d087","Ouvrir Maps")</f>
        <v>Ouvrir Maps</v>
      </c>
      <c r="U33" s="8" t="str">
        <f>HYPERLINK("https://www.sac-cas.ch/processed/sa2020assetsprod/0/2/csm_1623330332_1114747699master_4f4b2a7851.jpg","Photo HD")</f>
        <v>Photo HD</v>
      </c>
      <c r="V33" s="8" t="str">
        <f>HYPERLINK("https://www.sac-cas.ch/fr/cabanes-et-courses/portail-des-courses-du-cas/baltschiederklause-sac-2147000025/","Fiche source")</f>
        <v>Fiche source</v>
      </c>
      <c r="W33" s="3" t="s">
        <v>32</v>
      </c>
      <c r="X33" s="4"/>
      <c r="Y33" s="9">
        <f t="shared" si="2"/>
        <v>3.44</v>
      </c>
    </row>
    <row r="34" ht="86.25" customHeight="1">
      <c r="A34" s="3" t="s">
        <v>25</v>
      </c>
      <c r="B34" s="3" t="s">
        <v>223</v>
      </c>
      <c r="C34" s="8" t="str">
        <f>HYPERLINK("https://www.google.com/search?tbm=isch&amp;q=Bivacco+Elio+Bonfante+alle+Camoscere+refuge+bivouac+montagne+photo","🔎 Rechercher photo")</f>
        <v>🔎 Rechercher photo</v>
      </c>
      <c r="D34" s="3" t="s">
        <v>224</v>
      </c>
      <c r="E34" s="5">
        <v>2634.0</v>
      </c>
      <c r="F34" s="3" t="s">
        <v>225</v>
      </c>
      <c r="G34" s="5">
        <v>1790.0</v>
      </c>
      <c r="H34" s="3" t="s">
        <v>226</v>
      </c>
      <c r="I34" s="5">
        <v>3.5</v>
      </c>
      <c r="J34" s="5">
        <v>844.0</v>
      </c>
      <c r="K34" s="6">
        <v>3.0</v>
      </c>
      <c r="L34" s="6">
        <v>4.0</v>
      </c>
      <c r="M34" s="6">
        <v>3.0</v>
      </c>
      <c r="N34" s="6">
        <v>4.0</v>
      </c>
      <c r="O34" s="6">
        <v>4.0</v>
      </c>
      <c r="P34" s="7">
        <f t="shared" si="1"/>
        <v>3</v>
      </c>
      <c r="Q34" s="3" t="s">
        <v>227</v>
      </c>
      <c r="R34" s="3" t="s">
        <v>228</v>
      </c>
      <c r="S34" s="4"/>
      <c r="T34" s="8" t="str">
        <f>HYPERLINK("https://www.google.com/maps/place/Bivacco+Elio+Bonfante+alle+Camoscere/data=!4m2!3m1!1s0x12ccdf9fbf01009d:0xe9fae0dde281c570","Ouvrir Maps")</f>
        <v>Ouvrir Maps</v>
      </c>
      <c r="U34" s="8" t="str">
        <f>HYPERLINK("https://www.google.com/search?tbm=isch&amp;q=Bivacco+Elio+Bonfante+alle+Camoscere+refuge+bivouac+montagne+photo","Recherche photos")</f>
        <v>Recherche photos</v>
      </c>
      <c r="V34" s="4"/>
      <c r="W34" s="3" t="s">
        <v>50</v>
      </c>
      <c r="X34" s="3" t="s">
        <v>229</v>
      </c>
      <c r="Y34" s="9">
        <f t="shared" si="2"/>
        <v>3.43</v>
      </c>
    </row>
    <row r="35" ht="86.25" customHeight="1">
      <c r="A35" s="3" t="s">
        <v>25</v>
      </c>
      <c r="B35" s="3" t="s">
        <v>230</v>
      </c>
      <c r="C35" s="8" t="str">
        <f>HYPERLINK("https://www.google.com/search?tbm=isch&amp;q=Bivacco+Salvasera+refuge+bivouac+montagne+photo","🔎 Rechercher photo")</f>
        <v>🔎 Rechercher photo</v>
      </c>
      <c r="D35" s="3" t="s">
        <v>231</v>
      </c>
      <c r="E35" s="5">
        <v>2594.0</v>
      </c>
      <c r="F35" s="3" t="s">
        <v>232</v>
      </c>
      <c r="G35" s="5">
        <v>1670.0</v>
      </c>
      <c r="H35" s="3" t="s">
        <v>125</v>
      </c>
      <c r="I35" s="5">
        <v>3.5</v>
      </c>
      <c r="J35" s="5">
        <v>924.0</v>
      </c>
      <c r="K35" s="6">
        <v>3.0</v>
      </c>
      <c r="L35" s="6">
        <v>4.0</v>
      </c>
      <c r="M35" s="6">
        <v>3.0</v>
      </c>
      <c r="N35" s="6">
        <v>4.0</v>
      </c>
      <c r="O35" s="6">
        <v>4.0</v>
      </c>
      <c r="P35" s="7">
        <f t="shared" si="1"/>
        <v>3</v>
      </c>
      <c r="Q35" s="3" t="s">
        <v>233</v>
      </c>
      <c r="R35" s="3" t="s">
        <v>234</v>
      </c>
      <c r="S35" s="4"/>
      <c r="T35" s="8" t="str">
        <f>HYPERLINK("https://www.google.com/maps/place/Bivacco+Salvasera/data=!4m2!3m1!1s0x4789d7ef159956ef:0x9be451360ebe36ea","Ouvrir Maps")</f>
        <v>Ouvrir Maps</v>
      </c>
      <c r="U35" s="8" t="str">
        <f>HYPERLINK("https://www.google.com/search?tbm=isch&amp;q=Bivacco+Salvasera+refuge+bivouac+montagne+photo","Recherche photos")</f>
        <v>Recherche photos</v>
      </c>
      <c r="V35" s="10" t="s">
        <v>235</v>
      </c>
      <c r="W35" s="3" t="s">
        <v>81</v>
      </c>
      <c r="X35" s="4"/>
      <c r="Y35" s="9">
        <f t="shared" si="2"/>
        <v>3.41</v>
      </c>
    </row>
    <row r="36" ht="86.25" customHeight="1">
      <c r="A36" s="3" t="s">
        <v>25</v>
      </c>
      <c r="B36" s="3" t="s">
        <v>236</v>
      </c>
      <c r="C36" s="4" t="str">
        <f>IFERROR(IMAGE("https://d2exd72xrrp1s7.cloudfront.net/www/000/1k6/xu/xuom17k3twe614r930nr4i3tx48fsdapo-uhi51808637/0?crop=true&amp;height=576&amp;width=768",4,92,160),"Photo indisponible")</f>
        <v/>
      </c>
      <c r="D36" s="3" t="s">
        <v>237</v>
      </c>
      <c r="E36" s="5">
        <v>2585.0</v>
      </c>
      <c r="F36" s="3" t="s">
        <v>238</v>
      </c>
      <c r="G36" s="5">
        <v>1889.0</v>
      </c>
      <c r="H36" s="3" t="s">
        <v>73</v>
      </c>
      <c r="I36" s="5">
        <v>3.5</v>
      </c>
      <c r="J36" s="5">
        <v>696.0</v>
      </c>
      <c r="K36" s="6">
        <v>3.0</v>
      </c>
      <c r="L36" s="6">
        <v>4.0</v>
      </c>
      <c r="M36" s="6">
        <v>3.0</v>
      </c>
      <c r="N36" s="6">
        <v>4.0</v>
      </c>
      <c r="O36" s="6">
        <v>4.0</v>
      </c>
      <c r="P36" s="7">
        <f t="shared" si="1"/>
        <v>3</v>
      </c>
      <c r="Q36" s="3" t="s">
        <v>239</v>
      </c>
      <c r="R36" s="3" t="s">
        <v>240</v>
      </c>
      <c r="S36" s="4"/>
      <c r="T36" s="8" t="str">
        <f>HYPERLINK("https://www.google.com/maps/place/Bivacco+Reboulaz/data=!4m2!3m1!1s0x4788d1a3a7704cdf:0xfd9e66a5ad9bea2a","Ouvrir Maps")</f>
        <v>Ouvrir Maps</v>
      </c>
      <c r="U36" s="8" t="str">
        <f>HYPERLINK("https://www.google.com/search?tbm=isch&amp;q=Bivacco+Reboulaz+refuge+bivouac+montagne+photo","Recherche photos")</f>
        <v>Recherche photos</v>
      </c>
      <c r="V36" s="10" t="s">
        <v>241</v>
      </c>
      <c r="W36" s="3" t="s">
        <v>81</v>
      </c>
      <c r="X36" s="3" t="s">
        <v>63</v>
      </c>
      <c r="Y36" s="9">
        <f t="shared" si="2"/>
        <v>3.4</v>
      </c>
    </row>
    <row r="37" ht="86.25" customHeight="1">
      <c r="A37" s="3" t="s">
        <v>25</v>
      </c>
      <c r="B37" s="3" t="s">
        <v>242</v>
      </c>
      <c r="C37" s="8" t="str">
        <f>HYPERLINK("https://www.google.com/search?tbm=isch&amp;q=Bivacco+Regondi-Gavazzi+refuge+bivouac+montagne+photo","🔎 Rechercher photo")</f>
        <v>🔎 Rechercher photo</v>
      </c>
      <c r="D37" s="3" t="s">
        <v>151</v>
      </c>
      <c r="E37" s="5">
        <v>2595.0</v>
      </c>
      <c r="F37" s="3" t="s">
        <v>152</v>
      </c>
      <c r="G37" s="5">
        <v>1540.0</v>
      </c>
      <c r="H37" s="3" t="s">
        <v>153</v>
      </c>
      <c r="I37" s="5">
        <v>3.0</v>
      </c>
      <c r="J37" s="5">
        <v>1055.0</v>
      </c>
      <c r="K37" s="6">
        <v>3.0</v>
      </c>
      <c r="L37" s="6">
        <v>4.0</v>
      </c>
      <c r="M37" s="6">
        <v>3.0</v>
      </c>
      <c r="N37" s="6">
        <v>4.0</v>
      </c>
      <c r="O37" s="6">
        <v>4.0</v>
      </c>
      <c r="P37" s="7">
        <f t="shared" si="1"/>
        <v>3</v>
      </c>
      <c r="Q37" s="3" t="s">
        <v>243</v>
      </c>
      <c r="R37" s="3" t="s">
        <v>244</v>
      </c>
      <c r="S37" s="4"/>
      <c r="T37" s="8" t="str">
        <f>HYPERLINK("https://www.google.com/maps/place/Bivacco+Regondi-Gavazzi/data=!4m2!3m1!1s0x478929bdc1ff8ab7:0xcae5e5d66ffe1131","Ouvrir Maps")</f>
        <v>Ouvrir Maps</v>
      </c>
      <c r="U37" s="8" t="str">
        <f>HYPERLINK("https://www.google.com/search?tbm=isch&amp;q=Bivacco+Regondi-Gavazzi+refuge+bivouac+montagne+photo","Recherche photos")</f>
        <v>Recherche photos</v>
      </c>
      <c r="V37" s="4"/>
      <c r="W37" s="3" t="s">
        <v>50</v>
      </c>
      <c r="X37" s="3" t="s">
        <v>245</v>
      </c>
      <c r="Y37" s="9">
        <f t="shared" si="2"/>
        <v>3.39</v>
      </c>
    </row>
    <row r="38" ht="86.25" customHeight="1">
      <c r="A38" s="3" t="s">
        <v>25</v>
      </c>
      <c r="B38" s="3" t="s">
        <v>246</v>
      </c>
      <c r="C38" s="8" t="str">
        <f>HYPERLINK("https://www.google.com/search?tbm=isch&amp;q=Refuge+Nacamuli+au+col+Collon+refuge+bivouac+montagne+photo","🔎 Rechercher photo")</f>
        <v>🔎 Rechercher photo</v>
      </c>
      <c r="D38" s="3" t="s">
        <v>151</v>
      </c>
      <c r="E38" s="5">
        <v>2818.0</v>
      </c>
      <c r="F38" s="3" t="s">
        <v>247</v>
      </c>
      <c r="G38" s="5">
        <v>1960.0</v>
      </c>
      <c r="H38" s="3" t="s">
        <v>153</v>
      </c>
      <c r="I38" s="5">
        <v>4.0</v>
      </c>
      <c r="J38" s="5">
        <v>858.0</v>
      </c>
      <c r="K38" s="6">
        <v>3.0</v>
      </c>
      <c r="L38" s="6">
        <v>4.0</v>
      </c>
      <c r="M38" s="6">
        <v>1.0</v>
      </c>
      <c r="N38" s="6">
        <v>4.0</v>
      </c>
      <c r="O38" s="6">
        <v>5.0</v>
      </c>
      <c r="P38" s="7">
        <f t="shared" si="1"/>
        <v>3</v>
      </c>
      <c r="Q38" s="3" t="s">
        <v>248</v>
      </c>
      <c r="R38" s="3" t="s">
        <v>249</v>
      </c>
      <c r="S38" s="4"/>
      <c r="T38" s="8" t="str">
        <f>HYPERLINK("https://www.google.com/maps/place/Refuge+Nacamuli+au+col+Collon/data=!4m2!3m1!1s0x4788d3412c1b0df5:0xab53ac9a8b45c9f1","Ouvrir Maps")</f>
        <v>Ouvrir Maps</v>
      </c>
      <c r="U38" s="8" t="str">
        <f>HYPERLINK("https://www.google.com/search?tbm=isch&amp;q=Refuge+Nacamuli+au+col+Collon+refuge+bivouac+montagne+photo","Recherche photos")</f>
        <v>Recherche photos</v>
      </c>
      <c r="V38" s="4"/>
      <c r="W38" s="3" t="s">
        <v>50</v>
      </c>
      <c r="X38" s="3" t="s">
        <v>250</v>
      </c>
      <c r="Y38" s="9">
        <f t="shared" si="2"/>
        <v>3.25</v>
      </c>
    </row>
    <row r="39" ht="86.25" customHeight="1">
      <c r="A39" s="3" t="s">
        <v>25</v>
      </c>
      <c r="B39" s="3" t="s">
        <v>251</v>
      </c>
      <c r="C39" s="4" t="str">
        <f>IFERROR(IMAGE("https://static.wixstatic.com/media/58dded_94f92c519d114defa60ddf8ebc5cefe3~mv2.jpg/v1/fill/w_800%2Ch_451%2Cal_c%2Cq_85/58dded_94f92c519d114defa60ddf8ebc5cefe3~mv2.jpg",4,92,160),"Photo indisponible")</f>
        <v/>
      </c>
      <c r="D39" s="3" t="s">
        <v>252</v>
      </c>
      <c r="E39" s="5">
        <v>2439.0</v>
      </c>
      <c r="F39" s="3" t="s">
        <v>253</v>
      </c>
      <c r="G39" s="5">
        <v>1235.0</v>
      </c>
      <c r="H39" s="3" t="s">
        <v>254</v>
      </c>
      <c r="I39" s="5">
        <v>0.0</v>
      </c>
      <c r="J39" s="5">
        <v>1204.0</v>
      </c>
      <c r="K39" s="6">
        <v>0.0</v>
      </c>
      <c r="L39" s="6">
        <v>0.0</v>
      </c>
      <c r="M39" s="6">
        <v>1.0</v>
      </c>
      <c r="N39" s="6">
        <v>0.0</v>
      </c>
      <c r="O39" s="6">
        <v>0.0</v>
      </c>
      <c r="P39" s="7">
        <f t="shared" si="1"/>
        <v>1</v>
      </c>
      <c r="Q39" s="3" t="s">
        <v>255</v>
      </c>
      <c r="R39" s="3" t="s">
        <v>256</v>
      </c>
      <c r="S39" s="4"/>
      <c r="T39" s="8" t="str">
        <f>HYPERLINK("https://www.google.com/maps/place/Punta+Rama/data=!4m2!3m1!1s0x47888d10e304f85f:0x24d18f449a5ec3ca","Ouvrir Maps")</f>
        <v>Ouvrir Maps</v>
      </c>
      <c r="U39" s="8" t="str">
        <f>HYPERLINK("https://www.google.com/search?tbm=isch&amp;q=Punta+Rama+refuge+bivouac+montagne+photo","Recherche photos")</f>
        <v>Recherche photos</v>
      </c>
      <c r="V39" s="10" t="s">
        <v>257</v>
      </c>
      <c r="W39" s="3" t="s">
        <v>81</v>
      </c>
      <c r="X39" s="3" t="s">
        <v>258</v>
      </c>
      <c r="Y39" s="9">
        <f t="shared" si="2"/>
        <v>0.74</v>
      </c>
    </row>
  </sheetData>
  <conditionalFormatting sqref="P2:P39">
    <cfRule type="colorScale" priority="1">
      <colorScale>
        <cfvo type="formula" val="1"/>
        <cfvo type="formula" val="3"/>
        <cfvo type="formula" val="5"/>
        <color rgb="FFFFE0D3"/>
        <color rgb="FFFFF7D3"/>
        <color rgb="FFCCEAD1"/>
      </colorScale>
    </cfRule>
  </conditionalFormatting>
  <dataValidations>
    <dataValidation type="list" allowBlank="1" showErrorMessage="1" sqref="K2:P39">
      <formula1>"0,1,2,3,4,5"</formula1>
    </dataValidation>
    <dataValidation type="custom" allowBlank="1" showDropDown="1" sqref="E2:E39 G2:G39 I2:J39">
      <formula1>AND(ISNUMBER(E2),(NOT(OR(NOT(ISERROR(DATEVALUE(E2))), AND(ISNUMBER(E2), LEFT(CELL("format", E2))="D")))))</formula1>
    </dataValidation>
    <dataValidation allowBlank="1" showDropDown="1" sqref="A2:D39 F2:F39 H2:H39 Q2:X39"/>
  </dataValidations>
  <hyperlinks>
    <hyperlink r:id="rId2" ref="V10"/>
    <hyperlink r:id="rId3" ref="V11"/>
    <hyperlink r:id="rId4" ref="V15"/>
    <hyperlink r:id="rId5" ref="V17"/>
    <hyperlink r:id="rId6" ref="V19"/>
    <hyperlink r:id="rId7" ref="V20"/>
    <hyperlink r:id="rId8" ref="V23"/>
    <hyperlink r:id="rId9" ref="V24"/>
    <hyperlink r:id="rId10" ref="V29"/>
    <hyperlink r:id="rId11" ref="V35"/>
    <hyperlink r:id="rId12" ref="V36"/>
    <hyperlink r:id="rId13" ref="V39"/>
  </hyperlinks>
  <drawing r:id="rId14"/>
  <legacyDrawing r:id="rId15"/>
  <tableParts count="1"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2.0"/>
    <col customWidth="1" min="2" max="2" width="33.88"/>
    <col customWidth="1" min="3" max="3" width="22.38"/>
    <col customWidth="1" min="4" max="4" width="26.38"/>
    <col customWidth="1" min="5" max="5" width="14.63"/>
    <col customWidth="1" min="6" max="6" width="38.88"/>
    <col customWidth="1" min="7" max="7" width="20.5"/>
    <col customWidth="1" min="8" max="8" width="40.75"/>
    <col customWidth="1" min="9" max="9" width="20.5"/>
    <col customWidth="1" min="10" max="10" width="15.13"/>
    <col customWidth="1" min="11" max="11" width="14.88"/>
    <col customWidth="1" min="12" max="12" width="15.25"/>
    <col customWidth="1" min="13" max="13" width="18.13"/>
    <col customWidth="1" min="14" max="14" width="18.38"/>
    <col customWidth="1" min="15" max="15" width="22.13"/>
    <col customWidth="1" min="16" max="16" width="18.5"/>
    <col customWidth="1" min="17" max="17" width="15.13"/>
    <col customWidth="1" min="18" max="18" width="19.13"/>
    <col customWidth="1" min="19" max="19" width="18.88"/>
    <col customWidth="1" min="20" max="20" width="27.63"/>
    <col customWidth="1" min="21" max="21" width="45.13"/>
    <col customWidth="1" min="22" max="22" width="20.0"/>
    <col customWidth="1" min="23" max="23" width="18.75"/>
    <col customWidth="1" min="24" max="24" width="20.88"/>
    <col customWidth="1" min="25" max="25" width="34.5"/>
    <col customWidth="1" min="26" max="26" width="24.88"/>
    <col customWidth="1" min="27" max="27" width="49.88"/>
    <col hidden="1" min="28" max="28" width="12.63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259</v>
      </c>
      <c r="I1" s="1" t="s">
        <v>260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261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2" t="s">
        <v>24</v>
      </c>
    </row>
    <row r="2" ht="86.25" customHeight="1">
      <c r="A2" s="3" t="s">
        <v>25</v>
      </c>
      <c r="B2" s="3" t="s">
        <v>83</v>
      </c>
      <c r="C2" s="4" t="str">
        <f>IFERROR(IMAGE("https://www.gedistatic.it/content/gnn/img/lastampa/2020/09/13/014654241-b07c9869-7be5-4a7b-b8ac-961a4beb3a07.jpg",4,92,160),"Photo indisponible")</f>
        <v/>
      </c>
      <c r="D2" s="3" t="s">
        <v>84</v>
      </c>
      <c r="E2" s="5">
        <v>2840.0</v>
      </c>
      <c r="F2" s="3" t="s">
        <v>85</v>
      </c>
      <c r="G2" s="5">
        <v>2000.0</v>
      </c>
      <c r="H2" s="3" t="s">
        <v>262</v>
      </c>
      <c r="I2" s="5">
        <v>1400.0</v>
      </c>
      <c r="J2" s="3" t="s">
        <v>86</v>
      </c>
      <c r="K2" s="5">
        <v>2.5</v>
      </c>
      <c r="L2" s="5">
        <v>840.0</v>
      </c>
      <c r="M2" s="6">
        <v>5.0</v>
      </c>
      <c r="N2" s="6">
        <v>5.0</v>
      </c>
      <c r="O2" s="6">
        <v>5.0</v>
      </c>
      <c r="P2" s="6">
        <v>4.0</v>
      </c>
      <c r="Q2" s="6">
        <v>5.0</v>
      </c>
      <c r="R2" s="7">
        <f t="shared" ref="R2:R56" si="1">ROUND(AB2,0)</f>
        <v>5</v>
      </c>
      <c r="S2" s="6">
        <v>3.0</v>
      </c>
      <c r="T2" s="3" t="s">
        <v>87</v>
      </c>
      <c r="U2" s="3" t="s">
        <v>88</v>
      </c>
      <c r="V2" s="4"/>
      <c r="W2" s="8" t="str">
        <f>HYPERLINK("https://www.google.com/maps/place/Rifugio+Carmagnola+(Bivacco)/data=!4m2!3m1!1s0x12ccdd4ceb27d077:0xd10d57a15b0888bf","Ouvrir Maps")</f>
        <v>Ouvrir Maps</v>
      </c>
      <c r="X2" s="8" t="str">
        <f>HYPERLINK("https://www.google.com/search?tbm=isch&amp;q=Rifugio+Carmagnola+%28Bivacco%29+refuge+bivouac+montagne+photo","Recherche photos")</f>
        <v>Recherche photos</v>
      </c>
      <c r="Y2" s="10" t="s">
        <v>89</v>
      </c>
      <c r="Z2" s="3" t="s">
        <v>81</v>
      </c>
      <c r="AA2" s="3" t="s">
        <v>90</v>
      </c>
      <c r="AB2" s="9">
        <f t="shared" ref="AB2:AB56" si="2">MAX(0,MIN(5,ROUND(0.32*M2+0.12*N2+0.13*O2+0.16*P2+0.14*Q2+0.13*MAX(0,5-IFERROR(TIMEVALUE(SUBSTITUTE(J2,"h",":"))*24,0)*0.35-K2*0.2-L2/4000)-IF(S2&gt;=5,0.75,IF(S2&gt;=4,0.35,0)),2)))</f>
        <v>4.61</v>
      </c>
    </row>
    <row r="3" ht="86.25" customHeight="1">
      <c r="A3" s="3" t="s">
        <v>25</v>
      </c>
      <c r="B3" s="3" t="s">
        <v>57</v>
      </c>
      <c r="C3" s="4" t="str">
        <f>IFERROR(IMAGE("https://refuge.camp/_next/image?q=75&amp;url=https%3A%2F%2Fpub-48d6aa73c6444bd586149908aa4f3b05.r2.dev%2Fbivouac_matteo_corradini_thumbnail_1_1b36410b13.jpeg&amp;w=3840",4,92,160),"Photo indisponible")</f>
        <v/>
      </c>
      <c r="D3" s="3" t="s">
        <v>58</v>
      </c>
      <c r="E3" s="5">
        <v>2847.0</v>
      </c>
      <c r="F3" s="3" t="s">
        <v>59</v>
      </c>
      <c r="G3" s="5">
        <v>1665.0</v>
      </c>
      <c r="H3" s="3" t="s">
        <v>263</v>
      </c>
      <c r="I3" s="5">
        <v>1665.0</v>
      </c>
      <c r="J3" s="3" t="s">
        <v>60</v>
      </c>
      <c r="K3" s="5">
        <v>4.0</v>
      </c>
      <c r="L3" s="5">
        <v>1182.0</v>
      </c>
      <c r="M3" s="6">
        <v>5.0</v>
      </c>
      <c r="N3" s="6">
        <v>5.0</v>
      </c>
      <c r="O3" s="6">
        <v>4.0</v>
      </c>
      <c r="P3" s="6">
        <v>5.0</v>
      </c>
      <c r="Q3" s="6">
        <v>5.0</v>
      </c>
      <c r="R3" s="7">
        <f t="shared" si="1"/>
        <v>5</v>
      </c>
      <c r="S3" s="6">
        <v>3.0</v>
      </c>
      <c r="T3" s="3" t="s">
        <v>61</v>
      </c>
      <c r="U3" s="3" t="s">
        <v>62</v>
      </c>
      <c r="V3" s="4"/>
      <c r="W3" s="8" t="str">
        <f>HYPERLINK("https://www.google.com/maps/place/Bivacco+Corradini/data=!4m2!3m1!1s0x4789dfb8dc658bdd:0x6556901336c29628","Ouvrir Maps")</f>
        <v>Ouvrir Maps</v>
      </c>
      <c r="X3" s="8" t="str">
        <f>HYPERLINK("https://refuge.camp/_next/image?q=75&amp;url=https%3A%2F%2Fpub-48d6aa73c6444bd586149908aa4f3b05.r2.dev%2Fbivouac_matteo_corradini_thumbnail_1_1b36410b13.jpeg&amp;w=3840","Photo HD")</f>
        <v>Photo HD</v>
      </c>
      <c r="Y3" s="4"/>
      <c r="Z3" s="3" t="s">
        <v>50</v>
      </c>
      <c r="AA3" s="3" t="s">
        <v>63</v>
      </c>
      <c r="AB3" s="9">
        <f t="shared" si="2"/>
        <v>4.58</v>
      </c>
    </row>
    <row r="4" ht="86.25" customHeight="1">
      <c r="A4" s="3" t="s">
        <v>25</v>
      </c>
      <c r="B4" s="3" t="s">
        <v>264</v>
      </c>
      <c r="C4" s="4" t="str">
        <f>IFERROR(IMAGE("https://www.areeprotetteossola.it/images/Camposecco.jpg",4,92,160),"Photo indisponible")</f>
        <v/>
      </c>
      <c r="D4" s="3" t="s">
        <v>92</v>
      </c>
      <c r="E4" s="5">
        <v>2335.0</v>
      </c>
      <c r="F4" s="3" t="s">
        <v>158</v>
      </c>
      <c r="G4" s="5">
        <v>1350.0</v>
      </c>
      <c r="H4" s="3" t="s">
        <v>265</v>
      </c>
      <c r="I4" s="5">
        <v>1098.0</v>
      </c>
      <c r="J4" s="3" t="s">
        <v>94</v>
      </c>
      <c r="K4" s="5">
        <v>3.0</v>
      </c>
      <c r="L4" s="5">
        <v>985.0</v>
      </c>
      <c r="M4" s="6">
        <v>5.0</v>
      </c>
      <c r="N4" s="6">
        <v>4.0</v>
      </c>
      <c r="O4" s="6">
        <v>4.0</v>
      </c>
      <c r="P4" s="6">
        <v>5.0</v>
      </c>
      <c r="Q4" s="6">
        <v>5.0</v>
      </c>
      <c r="R4" s="7">
        <f t="shared" si="1"/>
        <v>4</v>
      </c>
      <c r="S4" s="6">
        <v>2.0</v>
      </c>
      <c r="T4" s="3" t="s">
        <v>266</v>
      </c>
      <c r="U4" s="3" t="s">
        <v>267</v>
      </c>
      <c r="V4" s="8" t="str">
        <f>HYPERLINK("https://rifugi.cai.it/shelters/921202202","Site officiel")</f>
        <v>Site officiel</v>
      </c>
      <c r="W4" s="8" t="str">
        <f>HYPERLINK("https://www.google.com/maps/place/Bivacco+Camposecco/data=!4m2!3m1!1s0x478f51169dc9179d:0x770fe9e90a0f46cd","Ouvrir Maps")</f>
        <v>Ouvrir Maps</v>
      </c>
      <c r="X4" s="8" t="str">
        <f>HYPERLINK("https://www.areeprotetteossola.it/images/Camposecco.jpg","Photo HD")</f>
        <v>Photo HD</v>
      </c>
      <c r="Y4" s="10" t="s">
        <v>268</v>
      </c>
      <c r="Z4" s="3" t="s">
        <v>81</v>
      </c>
      <c r="AA4" s="3" t="s">
        <v>269</v>
      </c>
      <c r="AB4" s="9">
        <f t="shared" si="2"/>
        <v>4.42</v>
      </c>
    </row>
    <row r="5" ht="86.25" customHeight="1">
      <c r="A5" s="3" t="s">
        <v>25</v>
      </c>
      <c r="B5" s="3" t="s">
        <v>161</v>
      </c>
      <c r="C5" s="4" t="str">
        <f>IFERROR(IMAGE("https://geotrek-admin.ecrins-parcnational.fr/media/paperclip/tourism_touristiccontent/1622/9528150.jpg",4,92,160),"Photo indisponible")</f>
        <v/>
      </c>
      <c r="D5" s="3" t="s">
        <v>162</v>
      </c>
      <c r="E5" s="5">
        <v>2550.0</v>
      </c>
      <c r="F5" s="3" t="s">
        <v>163</v>
      </c>
      <c r="G5" s="5">
        <v>1407.0</v>
      </c>
      <c r="H5" s="3" t="s">
        <v>270</v>
      </c>
      <c r="I5" s="5">
        <v>1144.0</v>
      </c>
      <c r="J5" s="3" t="s">
        <v>86</v>
      </c>
      <c r="K5" s="5">
        <v>4.0</v>
      </c>
      <c r="L5" s="5">
        <v>1143.0</v>
      </c>
      <c r="M5" s="6">
        <v>5.0</v>
      </c>
      <c r="N5" s="6">
        <v>5.0</v>
      </c>
      <c r="O5" s="6">
        <v>5.0</v>
      </c>
      <c r="P5" s="6">
        <v>4.0</v>
      </c>
      <c r="Q5" s="6">
        <v>5.0</v>
      </c>
      <c r="R5" s="7">
        <f t="shared" si="1"/>
        <v>4</v>
      </c>
      <c r="S5" s="6">
        <v>4.0</v>
      </c>
      <c r="T5" s="3" t="s">
        <v>164</v>
      </c>
      <c r="U5" s="3" t="s">
        <v>165</v>
      </c>
      <c r="V5" s="4"/>
      <c r="W5" s="8" t="str">
        <f>HYPERLINK("https://www.google.com/maps/place/Refuge+Bivouac+de+Chalance/data=!4m2!3m1!1s0x478a080923a59a67:0x297c7a8b6d203245","Ouvrir Maps")</f>
        <v>Ouvrir Maps</v>
      </c>
      <c r="X5" s="8" t="str">
        <f>HYPERLINK("https://www.google.com/search?tbm=isch&amp;q=Refuge+Bivouac+de+Chalance+refuge+bivouac+montagne+photo","Recherche photos")</f>
        <v>Recherche photos</v>
      </c>
      <c r="Y5" s="10" t="s">
        <v>166</v>
      </c>
      <c r="Z5" s="3" t="s">
        <v>81</v>
      </c>
      <c r="AA5" s="3" t="s">
        <v>63</v>
      </c>
      <c r="AB5" s="9">
        <f t="shared" si="2"/>
        <v>4.22</v>
      </c>
    </row>
    <row r="6" ht="86.25" customHeight="1">
      <c r="A6" s="3" t="s">
        <v>25</v>
      </c>
      <c r="B6" s="3" t="s">
        <v>223</v>
      </c>
      <c r="C6" s="8" t="str">
        <f>HYPERLINK("https://www.google.com/search?tbm=isch&amp;q=Bivacco+Elio+Bonfante+alle+Camoscere+refuge+bivouac+montagne+photo","🔎 Rechercher photo")</f>
        <v>🔎 Rechercher photo</v>
      </c>
      <c r="D6" s="3" t="s">
        <v>224</v>
      </c>
      <c r="E6" s="5">
        <v>2634.0</v>
      </c>
      <c r="F6" s="3" t="s">
        <v>225</v>
      </c>
      <c r="G6" s="5">
        <v>1790.0</v>
      </c>
      <c r="H6" s="3" t="s">
        <v>271</v>
      </c>
      <c r="I6" s="5">
        <v>1790.0</v>
      </c>
      <c r="J6" s="3" t="s">
        <v>226</v>
      </c>
      <c r="K6" s="5">
        <v>3.5</v>
      </c>
      <c r="L6" s="5">
        <v>844.0</v>
      </c>
      <c r="M6" s="6">
        <v>5.0</v>
      </c>
      <c r="N6" s="6">
        <v>4.0</v>
      </c>
      <c r="O6" s="6">
        <v>4.0</v>
      </c>
      <c r="P6" s="6">
        <v>4.0</v>
      </c>
      <c r="Q6" s="6">
        <v>4.0</v>
      </c>
      <c r="R6" s="7">
        <f t="shared" si="1"/>
        <v>4</v>
      </c>
      <c r="S6" s="6">
        <v>2.0</v>
      </c>
      <c r="T6" s="3" t="s">
        <v>227</v>
      </c>
      <c r="U6" s="3" t="s">
        <v>228</v>
      </c>
      <c r="V6" s="4"/>
      <c r="W6" s="8" t="str">
        <f>HYPERLINK("https://www.google.com/maps/place/Bivacco+Elio+Bonfante+alle+Camoscere/data=!4m2!3m1!1s0x12ccdf9fbf01009d:0xe9fae0dde281c570","Ouvrir Maps")</f>
        <v>Ouvrir Maps</v>
      </c>
      <c r="X6" s="8" t="str">
        <f>HYPERLINK("https://www.google.com/search?tbm=isch&amp;q=Bivacco+Elio+Bonfante+alle+Camoscere+refuge+bivouac+montagne+photo","Recherche photos")</f>
        <v>Recherche photos</v>
      </c>
      <c r="Y6" s="4"/>
      <c r="Z6" s="3" t="s">
        <v>50</v>
      </c>
      <c r="AA6" s="3" t="s">
        <v>229</v>
      </c>
      <c r="AB6" s="9">
        <f t="shared" si="2"/>
        <v>4.2</v>
      </c>
    </row>
    <row r="7" ht="86.25" customHeight="1">
      <c r="A7" s="3" t="s">
        <v>25</v>
      </c>
      <c r="B7" s="3" t="s">
        <v>220</v>
      </c>
      <c r="C7" s="4" t="str">
        <f>IFERROR(IMAGE("https://www.sac-cas.ch/processed/sa2020assetsprod/0/2/csm_1623330332_1114747699master_4f4b2a7851.jpg",4,92,160),"Photo indisponible")</f>
        <v/>
      </c>
      <c r="D7" s="3" t="s">
        <v>40</v>
      </c>
      <c r="E7" s="5">
        <v>2783.0</v>
      </c>
      <c r="F7" s="3" t="s">
        <v>41</v>
      </c>
      <c r="G7" s="5">
        <v>970.0</v>
      </c>
      <c r="H7" s="3" t="s">
        <v>41</v>
      </c>
      <c r="I7" s="5">
        <v>970.0</v>
      </c>
      <c r="J7" s="3" t="s">
        <v>36</v>
      </c>
      <c r="K7" s="5">
        <v>6.5</v>
      </c>
      <c r="L7" s="5">
        <v>1813.0</v>
      </c>
      <c r="M7" s="6">
        <v>5.0</v>
      </c>
      <c r="N7" s="6">
        <v>5.0</v>
      </c>
      <c r="O7" s="6">
        <v>5.0</v>
      </c>
      <c r="P7" s="6">
        <v>5.0</v>
      </c>
      <c r="Q7" s="6">
        <v>5.0</v>
      </c>
      <c r="R7" s="7">
        <f t="shared" si="1"/>
        <v>4</v>
      </c>
      <c r="S7" s="6">
        <v>4.0</v>
      </c>
      <c r="T7" s="3" t="s">
        <v>221</v>
      </c>
      <c r="U7" s="3" t="s">
        <v>222</v>
      </c>
      <c r="V7" s="8" t="str">
        <f>HYPERLINK("https://www.sac-cas.ch/fr/cabanes-et-courses/portail-des-courses-du-cas/baltschiederklause-sac-2147000025/","Site officiel")</f>
        <v>Site officiel</v>
      </c>
      <c r="W7" s="8" t="str">
        <f>HYPERLINK("https://www.google.com/maps/place/Baltschiederklause+SAC/data=!4m2!3m1!1s0x478f6d5760f935a1:0xe6a10355e732d087","Ouvrir Maps")</f>
        <v>Ouvrir Maps</v>
      </c>
      <c r="X7" s="8" t="str">
        <f>HYPERLINK("https://www.sac-cas.ch/processed/sa2020assetsprod/0/2/csm_1623330332_1114747699master_4f4b2a7851.jpg","Photo HD")</f>
        <v>Photo HD</v>
      </c>
      <c r="Y7" s="8" t="str">
        <f>HYPERLINK("https://www.sac-cas.ch/fr/cabanes-et-courses/portail-des-courses-du-cas/baltschiederklause-sac-2147000025/","Fiche source")</f>
        <v>Fiche source</v>
      </c>
      <c r="Z7" s="3" t="s">
        <v>32</v>
      </c>
      <c r="AA7" s="4"/>
      <c r="AB7" s="9">
        <f t="shared" si="2"/>
        <v>4.18</v>
      </c>
    </row>
    <row r="8" ht="86.25" customHeight="1">
      <c r="A8" s="3" t="s">
        <v>25</v>
      </c>
      <c r="B8" s="3" t="s">
        <v>236</v>
      </c>
      <c r="C8" s="4" t="str">
        <f>IFERROR(IMAGE("https://d2exd72xrrp1s7.cloudfront.net/www/000/1k6/xu/xuom17k3twe614r930nr4i3tx48fsdapo-uhi51808637/0?crop=true&amp;height=576&amp;width=768",4,92,160),"Photo indisponible")</f>
        <v/>
      </c>
      <c r="D8" s="3" t="s">
        <v>237</v>
      </c>
      <c r="E8" s="5">
        <v>2585.0</v>
      </c>
      <c r="F8" s="3" t="s">
        <v>238</v>
      </c>
      <c r="G8" s="5">
        <v>1889.0</v>
      </c>
      <c r="H8" s="3" t="s">
        <v>272</v>
      </c>
      <c r="I8" s="5">
        <v>1630.0</v>
      </c>
      <c r="J8" s="3" t="s">
        <v>73</v>
      </c>
      <c r="K8" s="5">
        <v>3.5</v>
      </c>
      <c r="L8" s="5">
        <v>696.0</v>
      </c>
      <c r="M8" s="6">
        <v>5.0</v>
      </c>
      <c r="N8" s="6">
        <v>4.0</v>
      </c>
      <c r="O8" s="6">
        <v>4.0</v>
      </c>
      <c r="P8" s="6">
        <v>4.0</v>
      </c>
      <c r="Q8" s="6">
        <v>4.0</v>
      </c>
      <c r="R8" s="7">
        <f t="shared" si="1"/>
        <v>4</v>
      </c>
      <c r="S8" s="6">
        <v>2.0</v>
      </c>
      <c r="T8" s="3" t="s">
        <v>239</v>
      </c>
      <c r="U8" s="3" t="s">
        <v>240</v>
      </c>
      <c r="V8" s="4"/>
      <c r="W8" s="8" t="str">
        <f>HYPERLINK("https://www.google.com/maps/place/Bivacco+Reboulaz/data=!4m2!3m1!1s0x4788d1a3a7704cdf:0xfd9e66a5ad9bea2a","Ouvrir Maps")</f>
        <v>Ouvrir Maps</v>
      </c>
      <c r="X8" s="8" t="str">
        <f>HYPERLINK("https://www.google.com/search?tbm=isch&amp;q=Bivacco+Reboulaz+refuge+bivouac+montagne+photo","Recherche photos")</f>
        <v>Recherche photos</v>
      </c>
      <c r="Y8" s="10" t="s">
        <v>241</v>
      </c>
      <c r="Z8" s="3" t="s">
        <v>81</v>
      </c>
      <c r="AA8" s="3" t="s">
        <v>63</v>
      </c>
      <c r="AB8" s="9">
        <f t="shared" si="2"/>
        <v>4.17</v>
      </c>
    </row>
    <row r="9" ht="86.25" customHeight="1">
      <c r="A9" s="3" t="s">
        <v>25</v>
      </c>
      <c r="B9" s="3" t="s">
        <v>273</v>
      </c>
      <c r="C9" s="8" t="str">
        <f>HYPERLINK("https://www.google.com/search?tbm=isch&amp;q=Bivacco+Menabreaz+refuge+bivouac+montagne+photo","🔎 Rechercher photo")</f>
        <v>🔎 Rechercher photo</v>
      </c>
      <c r="D9" s="3" t="s">
        <v>274</v>
      </c>
      <c r="E9" s="5">
        <v>2546.0</v>
      </c>
      <c r="F9" s="3" t="s">
        <v>275</v>
      </c>
      <c r="G9" s="5">
        <v>1040.0</v>
      </c>
      <c r="H9" s="3" t="s">
        <v>275</v>
      </c>
      <c r="I9" s="5">
        <v>1040.0</v>
      </c>
      <c r="J9" s="3" t="s">
        <v>73</v>
      </c>
      <c r="K9" s="5">
        <v>4.5</v>
      </c>
      <c r="L9" s="5">
        <v>1505.0</v>
      </c>
      <c r="M9" s="6">
        <v>5.0</v>
      </c>
      <c r="N9" s="6">
        <v>5.0</v>
      </c>
      <c r="O9" s="6">
        <v>5.0</v>
      </c>
      <c r="P9" s="6">
        <v>4.0</v>
      </c>
      <c r="Q9" s="6">
        <v>5.0</v>
      </c>
      <c r="R9" s="7">
        <f t="shared" si="1"/>
        <v>4</v>
      </c>
      <c r="S9" s="6">
        <v>4.0</v>
      </c>
      <c r="T9" s="3" t="s">
        <v>276</v>
      </c>
      <c r="U9" s="3" t="s">
        <v>277</v>
      </c>
      <c r="V9" s="4"/>
      <c r="W9" s="8" t="str">
        <f>HYPERLINK("https://www.google.com/maps/place/Bivacco+Menabreaz/data=!4m2!3m1!1s0x4788de75ad11271b:0xae38f4cae8ed99ae","Ouvrir Maps")</f>
        <v>Ouvrir Maps</v>
      </c>
      <c r="X9" s="8" t="str">
        <f>HYPERLINK("https://www.google.com/search?tbm=isch&amp;q=Bivacco+Menabreaz+refuge+bivouac+montagne+photo","Recherche photos")</f>
        <v>Recherche photos</v>
      </c>
      <c r="Y9" s="10" t="s">
        <v>278</v>
      </c>
      <c r="Z9" s="3" t="s">
        <v>50</v>
      </c>
      <c r="AA9" s="3" t="s">
        <v>279</v>
      </c>
      <c r="AB9" s="9">
        <f t="shared" si="2"/>
        <v>4.16</v>
      </c>
    </row>
    <row r="10" ht="86.25" customHeight="1">
      <c r="A10" s="3" t="s">
        <v>25</v>
      </c>
      <c r="B10" s="3" t="s">
        <v>242</v>
      </c>
      <c r="C10" s="8" t="str">
        <f>HYPERLINK("https://www.google.com/search?tbm=isch&amp;q=Bivacco+Regondi-Gavazzi+refuge+bivouac+montagne+photo","🔎 Rechercher photo")</f>
        <v>🔎 Rechercher photo</v>
      </c>
      <c r="D10" s="3" t="s">
        <v>151</v>
      </c>
      <c r="E10" s="5">
        <v>2595.0</v>
      </c>
      <c r="F10" s="3" t="s">
        <v>152</v>
      </c>
      <c r="G10" s="5">
        <v>1540.0</v>
      </c>
      <c r="H10" s="3" t="s">
        <v>280</v>
      </c>
      <c r="I10" s="5">
        <v>1350.0</v>
      </c>
      <c r="J10" s="3" t="s">
        <v>153</v>
      </c>
      <c r="K10" s="5">
        <v>3.0</v>
      </c>
      <c r="L10" s="5">
        <v>1055.0</v>
      </c>
      <c r="M10" s="6">
        <v>5.0</v>
      </c>
      <c r="N10" s="6">
        <v>4.0</v>
      </c>
      <c r="O10" s="6">
        <v>4.0</v>
      </c>
      <c r="P10" s="6">
        <v>4.0</v>
      </c>
      <c r="Q10" s="6">
        <v>4.0</v>
      </c>
      <c r="R10" s="7">
        <f t="shared" si="1"/>
        <v>4</v>
      </c>
      <c r="S10" s="6">
        <v>3.0</v>
      </c>
      <c r="T10" s="3" t="s">
        <v>243</v>
      </c>
      <c r="U10" s="3" t="s">
        <v>244</v>
      </c>
      <c r="V10" s="4"/>
      <c r="W10" s="8" t="str">
        <f>HYPERLINK("https://www.google.com/maps/place/Bivacco+Regondi-Gavazzi/data=!4m2!3m1!1s0x478929bdc1ff8ab7:0xcae5e5d66ffe1131","Ouvrir Maps")</f>
        <v>Ouvrir Maps</v>
      </c>
      <c r="X10" s="8" t="str">
        <f>HYPERLINK("https://www.google.com/search?tbm=isch&amp;q=Bivacco+Regondi-Gavazzi+refuge+bivouac+montagne+photo","Recherche photos")</f>
        <v>Recherche photos</v>
      </c>
      <c r="Y10" s="4"/>
      <c r="Z10" s="3" t="s">
        <v>50</v>
      </c>
      <c r="AA10" s="3" t="s">
        <v>245</v>
      </c>
      <c r="AB10" s="9">
        <f t="shared" si="2"/>
        <v>4.16</v>
      </c>
    </row>
    <row r="11" ht="86.25" customHeight="1">
      <c r="A11" s="3" t="s">
        <v>25</v>
      </c>
      <c r="B11" s="3" t="s">
        <v>246</v>
      </c>
      <c r="C11" s="8" t="str">
        <f>HYPERLINK("https://www.google.com/search?tbm=isch&amp;q=Refuge+Nacamuli+au+col+Collon+refuge+bivouac+montagne+photo","🔎 Rechercher photo")</f>
        <v>🔎 Rechercher photo</v>
      </c>
      <c r="D11" s="3" t="s">
        <v>151</v>
      </c>
      <c r="E11" s="5">
        <v>2818.0</v>
      </c>
      <c r="F11" s="3" t="s">
        <v>247</v>
      </c>
      <c r="G11" s="5">
        <v>1960.0</v>
      </c>
      <c r="H11" s="3" t="s">
        <v>281</v>
      </c>
      <c r="I11" s="5">
        <v>1600.0</v>
      </c>
      <c r="J11" s="3" t="s">
        <v>153</v>
      </c>
      <c r="K11" s="5">
        <v>4.0</v>
      </c>
      <c r="L11" s="5">
        <v>858.0</v>
      </c>
      <c r="M11" s="6">
        <v>5.0</v>
      </c>
      <c r="N11" s="6">
        <v>4.0</v>
      </c>
      <c r="O11" s="6">
        <v>3.0</v>
      </c>
      <c r="P11" s="6">
        <v>4.0</v>
      </c>
      <c r="Q11" s="6">
        <v>5.0</v>
      </c>
      <c r="R11" s="7">
        <f t="shared" si="1"/>
        <v>4</v>
      </c>
      <c r="S11" s="6">
        <v>3.0</v>
      </c>
      <c r="T11" s="3" t="s">
        <v>248</v>
      </c>
      <c r="U11" s="3" t="s">
        <v>249</v>
      </c>
      <c r="V11" s="4"/>
      <c r="W11" s="8" t="str">
        <f>HYPERLINK("https://www.google.com/maps/place/Refuge+Nacamuli+au+col+Collon/data=!4m2!3m1!1s0x4788d3412c1b0df5:0xab53ac9a8b45c9f1","Ouvrir Maps")</f>
        <v>Ouvrir Maps</v>
      </c>
      <c r="X11" s="8" t="str">
        <f>HYPERLINK("https://www.google.com/search?tbm=isch&amp;q=Refuge+Nacamuli+au+col+Collon+refuge+bivouac+montagne+photo","Recherche photos")</f>
        <v>Recherche photos</v>
      </c>
      <c r="Y11" s="4"/>
      <c r="Z11" s="3" t="s">
        <v>50</v>
      </c>
      <c r="AA11" s="3" t="s">
        <v>250</v>
      </c>
      <c r="AB11" s="9">
        <f t="shared" si="2"/>
        <v>4.15</v>
      </c>
    </row>
    <row r="12" ht="86.25" customHeight="1">
      <c r="A12" s="3" t="s">
        <v>25</v>
      </c>
      <c r="B12" s="3" t="s">
        <v>71</v>
      </c>
      <c r="C12" s="4" t="str">
        <f>IFERROR(IMAGE("https://d2exd72xrrp1s7.cloudfront.net/www/000/1k1/19/191l043nejeq41hwxm02gejrlv20ow8p3d-uhi652725/0?crop=true&amp;height=576&amp;width=768",4,92,160),"Photo indisponible")</f>
        <v/>
      </c>
      <c r="D12" s="3" t="s">
        <v>65</v>
      </c>
      <c r="E12" s="5">
        <v>2770.0</v>
      </c>
      <c r="F12" s="3" t="s">
        <v>72</v>
      </c>
      <c r="G12" s="5">
        <v>1370.0</v>
      </c>
      <c r="H12" s="3" t="s">
        <v>282</v>
      </c>
      <c r="I12" s="5">
        <v>1060.0</v>
      </c>
      <c r="J12" s="3" t="s">
        <v>73</v>
      </c>
      <c r="K12" s="5">
        <v>5.5</v>
      </c>
      <c r="L12" s="5">
        <v>1400.0</v>
      </c>
      <c r="M12" s="6">
        <v>5.0</v>
      </c>
      <c r="N12" s="6">
        <v>5.0</v>
      </c>
      <c r="O12" s="6">
        <v>5.0</v>
      </c>
      <c r="P12" s="6">
        <v>4.0</v>
      </c>
      <c r="Q12" s="6">
        <v>5.0</v>
      </c>
      <c r="R12" s="7">
        <f t="shared" si="1"/>
        <v>4</v>
      </c>
      <c r="S12" s="6">
        <v>4.0</v>
      </c>
      <c r="T12" s="3" t="s">
        <v>74</v>
      </c>
      <c r="U12" s="3" t="s">
        <v>75</v>
      </c>
      <c r="V12" s="4"/>
      <c r="W12" s="8" t="str">
        <f>HYPERLINK("https://www.google.com/maps/place/Bivacco+Ivrea/data=!4m2!3m1!1s0x4788fd003ba4230f:0x4991879c0289c691","Ouvrir Maps")</f>
        <v>Ouvrir Maps</v>
      </c>
      <c r="X12" s="8" t="str">
        <f>HYPERLINK("https://d2exd72xrrp1s7.cloudfront.net/www/000/1k1/19/191l043nejeq41hwxm02gejrlv20ow8p3d-uhi652725/0?crop=true&amp;height=576&amp;width=768","Photo HD")</f>
        <v>Photo HD</v>
      </c>
      <c r="Y12" s="4"/>
      <c r="Z12" s="3" t="s">
        <v>50</v>
      </c>
      <c r="AA12" s="4"/>
      <c r="AB12" s="9">
        <f t="shared" si="2"/>
        <v>4.14</v>
      </c>
    </row>
    <row r="13" ht="86.25" customHeight="1">
      <c r="A13" s="3" t="s">
        <v>25</v>
      </c>
      <c r="B13" s="3" t="s">
        <v>91</v>
      </c>
      <c r="C13" s="8" t="str">
        <f>HYPERLINK("https://www.google.com/search?tbm=isch&amp;q=Bivacco+Citt%C3%A0+di+Varese+refuge+bivouac+montagne+photo","🔎 Rechercher photo")</f>
        <v>🔎 Rechercher photo</v>
      </c>
      <c r="D13" s="3" t="s">
        <v>92</v>
      </c>
      <c r="E13" s="5">
        <v>2650.0</v>
      </c>
      <c r="F13" s="3" t="s">
        <v>93</v>
      </c>
      <c r="G13" s="5">
        <v>1495.0</v>
      </c>
      <c r="H13" s="3" t="s">
        <v>283</v>
      </c>
      <c r="I13" s="5">
        <v>1100.0</v>
      </c>
      <c r="J13" s="3" t="s">
        <v>94</v>
      </c>
      <c r="K13" s="5">
        <v>4.0</v>
      </c>
      <c r="L13" s="5">
        <v>1155.0</v>
      </c>
      <c r="M13" s="6">
        <v>5.0</v>
      </c>
      <c r="N13" s="6">
        <v>5.0</v>
      </c>
      <c r="O13" s="6">
        <v>5.0</v>
      </c>
      <c r="P13" s="6">
        <v>4.0</v>
      </c>
      <c r="Q13" s="6">
        <v>5.0</v>
      </c>
      <c r="R13" s="7">
        <f t="shared" si="1"/>
        <v>4</v>
      </c>
      <c r="S13" s="6">
        <v>4.0</v>
      </c>
      <c r="T13" s="3" t="s">
        <v>95</v>
      </c>
      <c r="U13" s="3" t="s">
        <v>96</v>
      </c>
      <c r="V13" s="8" t="str">
        <f>HYPERLINK("https://www.comune.antronaschieranco.vb.it/it-it/vivere-il-comune/dove-dormire","Site officiel")</f>
        <v>Site officiel</v>
      </c>
      <c r="W13" s="8" t="str">
        <f>HYPERLINK("https://www.google.com/maps/place/Bivacco+Citt%C3%A0+di+Varese/data=!4m2!3m1!1s0x478f5a70d4bf24a1:0x33e03d5aa0c6f772","Ouvrir Maps")</f>
        <v>Ouvrir Maps</v>
      </c>
      <c r="X13" s="8" t="str">
        <f>HYPERLINK("https://www.google.com/search?tbm=isch&amp;q=Bivacco+Citt%C3%A0+di+Varese+refuge+bivouac+montagne+photo","Recherche photos")</f>
        <v>Recherche photos</v>
      </c>
      <c r="Y13" s="4"/>
      <c r="Z13" s="3" t="s">
        <v>50</v>
      </c>
      <c r="AA13" s="4"/>
      <c r="AB13" s="9">
        <f t="shared" si="2"/>
        <v>4.13</v>
      </c>
    </row>
    <row r="14" ht="86.25" customHeight="1">
      <c r="A14" s="3" t="s">
        <v>25</v>
      </c>
      <c r="B14" s="3" t="s">
        <v>284</v>
      </c>
      <c r="C14" s="4" t="str">
        <f>IFERROR(IMAGE("https://www.parks.it/imgnews.php?f=1&amp;idn=10528",4,92,160),"Photo indisponible")</f>
        <v/>
      </c>
      <c r="D14" s="3" t="s">
        <v>285</v>
      </c>
      <c r="E14" s="5">
        <v>2235.0</v>
      </c>
      <c r="F14" s="3" t="s">
        <v>286</v>
      </c>
      <c r="G14" s="5">
        <v>1370.0</v>
      </c>
      <c r="H14" s="3" t="s">
        <v>287</v>
      </c>
      <c r="I14" s="5">
        <v>980.0</v>
      </c>
      <c r="J14" s="3" t="s">
        <v>288</v>
      </c>
      <c r="K14" s="5">
        <v>2.5</v>
      </c>
      <c r="L14" s="5">
        <v>865.0</v>
      </c>
      <c r="M14" s="6">
        <v>4.0</v>
      </c>
      <c r="N14" s="6">
        <v>4.0</v>
      </c>
      <c r="O14" s="6">
        <v>4.0</v>
      </c>
      <c r="P14" s="6">
        <v>4.0</v>
      </c>
      <c r="Q14" s="6">
        <v>5.0</v>
      </c>
      <c r="R14" s="7">
        <f t="shared" si="1"/>
        <v>4</v>
      </c>
      <c r="S14" s="6">
        <v>2.0</v>
      </c>
      <c r="T14" s="3" t="s">
        <v>289</v>
      </c>
      <c r="U14" s="3" t="s">
        <v>290</v>
      </c>
      <c r="V14" s="4"/>
      <c r="W14" s="8" t="str">
        <f>HYPERLINK("https://www.google.com/maps/place/Bivacco+Varrone/data=!4m2!3m1!1s0x12cd0845a1eb5bef:0x3f64554eebe35696","Ouvrir Maps")</f>
        <v>Ouvrir Maps</v>
      </c>
      <c r="X14" s="8" t="str">
        <f>HYPERLINK("https://www.google.com/search?tbm=isch&amp;q=Bivacco+Varrone+refuge+bivouac+montagne+photo","Recherche photos")</f>
        <v>Recherche photos</v>
      </c>
      <c r="Y14" s="4"/>
      <c r="Z14" s="3" t="s">
        <v>50</v>
      </c>
      <c r="AA14" s="3" t="s">
        <v>291</v>
      </c>
      <c r="AB14" s="9">
        <f t="shared" si="2"/>
        <v>4.07</v>
      </c>
    </row>
    <row r="15" ht="86.25" customHeight="1">
      <c r="A15" s="3" t="s">
        <v>25</v>
      </c>
      <c r="B15" s="3" t="s">
        <v>292</v>
      </c>
      <c r="C15" s="4" t="str">
        <f>IFERROR(IMAGE("https://static.designboom.com/wp-content/uploads/2013/12/giovannipesamosca_bivacco-luca-vuerich_db_07.jpg",4,92,160),"Photo indisponible")</f>
        <v/>
      </c>
      <c r="D15" s="3" t="s">
        <v>293</v>
      </c>
      <c r="E15" s="5">
        <v>2531.0</v>
      </c>
      <c r="F15" s="3" t="s">
        <v>294</v>
      </c>
      <c r="G15" s="5">
        <v>1200.0</v>
      </c>
      <c r="H15" s="3" t="s">
        <v>295</v>
      </c>
      <c r="I15" s="5">
        <v>1200.0</v>
      </c>
      <c r="J15" s="3" t="s">
        <v>296</v>
      </c>
      <c r="K15" s="5">
        <v>4.0</v>
      </c>
      <c r="L15" s="5">
        <v>1331.0</v>
      </c>
      <c r="M15" s="6">
        <v>5.0</v>
      </c>
      <c r="N15" s="6">
        <v>5.0</v>
      </c>
      <c r="O15" s="6">
        <v>4.0</v>
      </c>
      <c r="P15" s="6">
        <v>5.0</v>
      </c>
      <c r="Q15" s="6">
        <v>5.0</v>
      </c>
      <c r="R15" s="7">
        <f t="shared" si="1"/>
        <v>4</v>
      </c>
      <c r="S15" s="6">
        <v>4.0</v>
      </c>
      <c r="T15" s="3" t="s">
        <v>297</v>
      </c>
      <c r="U15" s="3" t="s">
        <v>298</v>
      </c>
      <c r="V15" s="4"/>
      <c r="W15" s="8" t="str">
        <f>HYPERLINK("https://www.google.com/maps/place/Bivouac+Luca+Vuerich/data=!4m2!3m1!1s0x477a6cb967cdd369:0xd38966ffd7926d41","Ouvrir Maps")</f>
        <v>Ouvrir Maps</v>
      </c>
      <c r="X15" s="8" t="str">
        <f>HYPERLINK("https://static.designboom.com/wp-content/uploads/2013/12/giovannipesamosca_bivacco-luca-vuerich_db_07.jpg","Photo HD")</f>
        <v>Photo HD</v>
      </c>
      <c r="Y15" s="4"/>
      <c r="Z15" s="3" t="s">
        <v>50</v>
      </c>
      <c r="AA15" s="3" t="s">
        <v>63</v>
      </c>
      <c r="AB15" s="9">
        <f t="shared" si="2"/>
        <v>4.04</v>
      </c>
    </row>
    <row r="16" ht="86.25" customHeight="1">
      <c r="A16" s="3" t="s">
        <v>25</v>
      </c>
      <c r="B16" s="3" t="s">
        <v>136</v>
      </c>
      <c r="C16" s="4" t="str">
        <f>IFERROR(IMAGE("https://bobine.tv/app/uploads/2023/01/BIVACCO-PASSERA-2.jpg",4,92,160),"Photo indisponible")</f>
        <v/>
      </c>
      <c r="D16" s="3" t="s">
        <v>137</v>
      </c>
      <c r="E16" s="5">
        <v>3175.0</v>
      </c>
      <c r="F16" s="3" t="s">
        <v>138</v>
      </c>
      <c r="G16" s="5">
        <v>2350.0</v>
      </c>
      <c r="H16" s="3" t="s">
        <v>299</v>
      </c>
      <c r="I16" s="5">
        <v>1825.0</v>
      </c>
      <c r="J16" s="3" t="s">
        <v>139</v>
      </c>
      <c r="K16" s="5">
        <v>4.5</v>
      </c>
      <c r="L16" s="5">
        <v>825.0</v>
      </c>
      <c r="M16" s="6">
        <v>5.0</v>
      </c>
      <c r="N16" s="6">
        <v>4.0</v>
      </c>
      <c r="O16" s="6">
        <v>5.0</v>
      </c>
      <c r="P16" s="6">
        <v>4.0</v>
      </c>
      <c r="Q16" s="6">
        <v>5.0</v>
      </c>
      <c r="R16" s="7">
        <f t="shared" si="1"/>
        <v>4</v>
      </c>
      <c r="S16" s="6">
        <v>4.0</v>
      </c>
      <c r="T16" s="3" t="s">
        <v>140</v>
      </c>
      <c r="U16" s="3" t="s">
        <v>141</v>
      </c>
      <c r="V16" s="4"/>
      <c r="W16" s="8" t="str">
        <f>HYPERLINK("https://www.google.com/maps/place/Bivacco+Passera+all%E2%80%99Alta+Luce/data=!4m2!3m1!1s0x4788b300528c3fa7:0xc0da6a149cdd2634","Ouvrir Maps")</f>
        <v>Ouvrir Maps</v>
      </c>
      <c r="X16" s="8" t="str">
        <f>HYPERLINK("https://www.google.com/search?tbm=isch&amp;q=Bivacco+Passera+all%E2%80%99Alta+Luce+refuge+bivouac+montagne+photo","Recherche photos")</f>
        <v>Recherche photos</v>
      </c>
      <c r="Y16" s="10" t="s">
        <v>142</v>
      </c>
      <c r="Z16" s="3" t="s">
        <v>81</v>
      </c>
      <c r="AA16" s="3" t="s">
        <v>143</v>
      </c>
      <c r="AB16" s="9">
        <f t="shared" si="2"/>
        <v>4.04</v>
      </c>
    </row>
    <row r="17" ht="86.25" customHeight="1">
      <c r="A17" s="3" t="s">
        <v>25</v>
      </c>
      <c r="B17" s="3" t="s">
        <v>185</v>
      </c>
      <c r="C17" s="8" t="str">
        <f>HYPERLINK("https://www.google.com/search?tbm=isch&amp;q=Bivacco+Penne+Nere+refuge+bivouac+montagne+photo","🔎 Rechercher photo")</f>
        <v>🔎 Rechercher photo</v>
      </c>
      <c r="D17" s="3" t="s">
        <v>186</v>
      </c>
      <c r="E17" s="5">
        <v>2730.0</v>
      </c>
      <c r="F17" s="3" t="s">
        <v>187</v>
      </c>
      <c r="G17" s="5">
        <v>1630.0</v>
      </c>
      <c r="H17" s="3" t="s">
        <v>300</v>
      </c>
      <c r="I17" s="5">
        <v>1020.0</v>
      </c>
      <c r="J17" s="3" t="s">
        <v>67</v>
      </c>
      <c r="K17" s="5">
        <v>3.0</v>
      </c>
      <c r="L17" s="5">
        <v>1100.0</v>
      </c>
      <c r="M17" s="6">
        <v>4.0</v>
      </c>
      <c r="N17" s="6">
        <v>4.0</v>
      </c>
      <c r="O17" s="6">
        <v>4.0</v>
      </c>
      <c r="P17" s="6">
        <v>4.0</v>
      </c>
      <c r="Q17" s="6">
        <v>5.0</v>
      </c>
      <c r="R17" s="7">
        <f t="shared" si="1"/>
        <v>4</v>
      </c>
      <c r="S17" s="6">
        <v>3.0</v>
      </c>
      <c r="T17" s="3" t="s">
        <v>188</v>
      </c>
      <c r="U17" s="3" t="s">
        <v>189</v>
      </c>
      <c r="V17" s="4"/>
      <c r="W17" s="8" t="str">
        <f>HYPERLINK("https://www.google.com/maps/place/Bivacco+Penne+Nere/data=!4m2!3m1!1s0x4788d86c7686f131:0xbc680ca6b8181d43","Ouvrir Maps")</f>
        <v>Ouvrir Maps</v>
      </c>
      <c r="X17" s="8" t="str">
        <f>HYPERLINK("https://www.google.com/search?tbm=isch&amp;q=Bivacco+Penne+Nere+refuge+bivouac+montagne+photo","Recherche photos")</f>
        <v>Recherche photos</v>
      </c>
      <c r="Y17" s="4"/>
      <c r="Z17" s="3" t="s">
        <v>50</v>
      </c>
      <c r="AA17" s="3" t="s">
        <v>190</v>
      </c>
      <c r="AB17" s="9">
        <f t="shared" si="2"/>
        <v>4</v>
      </c>
    </row>
    <row r="18" ht="86.25" customHeight="1">
      <c r="A18" s="3" t="s">
        <v>25</v>
      </c>
      <c r="B18" s="3" t="s">
        <v>301</v>
      </c>
      <c r="C18" s="4" t="str">
        <f>IFERROR(IMAGE("https://cms.outtrip.fr/assets/_1200x630_crop_center-center_82_none/Bivacco-Tzan.jpeg?mtime=1676631907",4,92,160),"Photo indisponible")</f>
        <v/>
      </c>
      <c r="D18" s="3" t="s">
        <v>302</v>
      </c>
      <c r="E18" s="5">
        <v>2482.0</v>
      </c>
      <c r="F18" s="3" t="s">
        <v>303</v>
      </c>
      <c r="G18" s="5">
        <v>2080.0</v>
      </c>
      <c r="H18" s="3" t="s">
        <v>304</v>
      </c>
      <c r="I18" s="5">
        <v>1490.0</v>
      </c>
      <c r="J18" s="3" t="s">
        <v>99</v>
      </c>
      <c r="K18" s="5">
        <v>2.5</v>
      </c>
      <c r="L18" s="5">
        <v>402.0</v>
      </c>
      <c r="M18" s="6">
        <v>5.0</v>
      </c>
      <c r="N18" s="6">
        <v>3.0</v>
      </c>
      <c r="O18" s="6">
        <v>3.0</v>
      </c>
      <c r="P18" s="6">
        <v>4.0</v>
      </c>
      <c r="Q18" s="6">
        <v>4.0</v>
      </c>
      <c r="R18" s="7">
        <f t="shared" si="1"/>
        <v>4</v>
      </c>
      <c r="S18" s="6">
        <v>2.0</v>
      </c>
      <c r="T18" s="3" t="s">
        <v>305</v>
      </c>
      <c r="U18" s="3" t="s">
        <v>306</v>
      </c>
      <c r="V18" s="4"/>
      <c r="W18" s="8" t="str">
        <f>HYPERLINK("https://www.google.com/maps/place/Bivacco+Tzan/data=!4m2!3m1!1s0x4788d1394f3cb30f:0x218eb70672719f9a","Ouvrir Maps")</f>
        <v>Ouvrir Maps</v>
      </c>
      <c r="X18" s="8" t="str">
        <f>HYPERLINK("https://cms.outtrip.fr/assets/_1200x630_crop_center-center_82_none/Bivacco-Tzan.jpeg?mtime=1676631907","Photo HD")</f>
        <v>Photo HD</v>
      </c>
      <c r="Y18" s="4"/>
      <c r="Z18" s="3" t="s">
        <v>50</v>
      </c>
      <c r="AA18" s="3" t="s">
        <v>307</v>
      </c>
      <c r="AB18" s="9">
        <f t="shared" si="2"/>
        <v>3.97</v>
      </c>
    </row>
    <row r="19" ht="86.25" customHeight="1">
      <c r="A19" s="3" t="s">
        <v>25</v>
      </c>
      <c r="B19" s="3" t="s">
        <v>201</v>
      </c>
      <c r="C19" s="4" t="str">
        <f>IFERROR(IMAGE("https://cdn.prod.rexby.com/image/6d46892854d1422291b303faa3669de5",4,92,160),"Photo indisponible")</f>
        <v/>
      </c>
      <c r="D19" s="3" t="s">
        <v>202</v>
      </c>
      <c r="E19" s="5">
        <v>2670.0</v>
      </c>
      <c r="F19" s="3" t="s">
        <v>203</v>
      </c>
      <c r="G19" s="5">
        <v>1600.0</v>
      </c>
      <c r="H19" s="3" t="s">
        <v>203</v>
      </c>
      <c r="I19" s="5">
        <v>1600.0</v>
      </c>
      <c r="J19" s="3" t="s">
        <v>204</v>
      </c>
      <c r="K19" s="5">
        <v>3.5</v>
      </c>
      <c r="L19" s="5">
        <v>1070.0</v>
      </c>
      <c r="M19" s="6">
        <v>4.0</v>
      </c>
      <c r="N19" s="6">
        <v>4.0</v>
      </c>
      <c r="O19" s="6">
        <v>4.0</v>
      </c>
      <c r="P19" s="6">
        <v>4.0</v>
      </c>
      <c r="Q19" s="6">
        <v>5.0</v>
      </c>
      <c r="R19" s="7">
        <f t="shared" si="1"/>
        <v>4</v>
      </c>
      <c r="S19" s="6">
        <v>3.0</v>
      </c>
      <c r="T19" s="3" t="s">
        <v>205</v>
      </c>
      <c r="U19" s="3" t="s">
        <v>206</v>
      </c>
      <c r="V19" s="4"/>
      <c r="W19" s="8" t="str">
        <f>HYPERLINK("https://www.google.com/maps/place/Bivouac+du+Dolent+CAS/data=!4m2!3m1!1s0x478934330ced8179:0x240c8ddefb767b9c","Ouvrir Maps")</f>
        <v>Ouvrir Maps</v>
      </c>
      <c r="X19" s="8" t="str">
        <f>HYPERLINK("https://cdn.prod.rexby.com/image/6d46892854d1422291b303faa3669de5","Photo HD")</f>
        <v>Photo HD</v>
      </c>
      <c r="Y19" s="4"/>
      <c r="Z19" s="3" t="s">
        <v>32</v>
      </c>
      <c r="AA19" s="3" t="s">
        <v>63</v>
      </c>
      <c r="AB19" s="9">
        <f t="shared" si="2"/>
        <v>3.95</v>
      </c>
    </row>
    <row r="20" ht="86.25" customHeight="1">
      <c r="A20" s="3" t="s">
        <v>25</v>
      </c>
      <c r="B20" s="3" t="s">
        <v>196</v>
      </c>
      <c r="C20" s="4" t="str">
        <f>IFERROR(IMAGE("https://www.clubalpinoaccademico.it/media/k2/items/cache/f7abac252ae5ed68121b92ba7a669d87_XL.jpg",4,92,160),"Photo indisponible")</f>
        <v/>
      </c>
      <c r="D20" s="3" t="s">
        <v>175</v>
      </c>
      <c r="E20" s="5">
        <v>2735.0</v>
      </c>
      <c r="F20" s="3" t="s">
        <v>197</v>
      </c>
      <c r="G20" s="5">
        <v>1775.0</v>
      </c>
      <c r="H20" s="3" t="s">
        <v>308</v>
      </c>
      <c r="I20" s="5">
        <v>1600.0</v>
      </c>
      <c r="J20" s="3" t="s">
        <v>132</v>
      </c>
      <c r="K20" s="5">
        <v>3.5</v>
      </c>
      <c r="L20" s="5">
        <v>960.0</v>
      </c>
      <c r="M20" s="6">
        <v>5.0</v>
      </c>
      <c r="N20" s="6">
        <v>4.0</v>
      </c>
      <c r="O20" s="6">
        <v>4.0</v>
      </c>
      <c r="P20" s="6">
        <v>4.0</v>
      </c>
      <c r="Q20" s="6">
        <v>5.0</v>
      </c>
      <c r="R20" s="7">
        <f t="shared" si="1"/>
        <v>4</v>
      </c>
      <c r="S20" s="6">
        <v>4.0</v>
      </c>
      <c r="T20" s="3" t="s">
        <v>198</v>
      </c>
      <c r="U20" s="3" t="s">
        <v>199</v>
      </c>
      <c r="V20" s="4"/>
      <c r="W20" s="8" t="str">
        <f>HYPERLINK("https://www.google.com/maps/place/Bivacco+Fiorio/data=!4m2!3m1!1s0x4789373670821e3f:0x1eaa7200d33e9907","Ouvrir Maps")</f>
        <v>Ouvrir Maps</v>
      </c>
      <c r="X20" s="8" t="str">
        <f>HYPERLINK("https://www.google.com/search?tbm=isch&amp;q=Bivacco+Fiorio+refuge+bivouac+montagne+photo","Recherche photos")</f>
        <v>Recherche photos</v>
      </c>
      <c r="Y20" s="10" t="s">
        <v>200</v>
      </c>
      <c r="Z20" s="3" t="s">
        <v>81</v>
      </c>
      <c r="AA20" s="4"/>
      <c r="AB20" s="9">
        <f t="shared" si="2"/>
        <v>3.95</v>
      </c>
    </row>
    <row r="21" ht="86.25" customHeight="1">
      <c r="A21" s="3" t="s">
        <v>25</v>
      </c>
      <c r="B21" s="3" t="s">
        <v>129</v>
      </c>
      <c r="C21" s="8" t="str">
        <f>HYPERLINK("https://www.google.com/search?tbm=isch&amp;q=Bivacco+Rivolta+refuge+bivouac+montagne+photo","🔎 Rechercher photo")</f>
        <v>🔎 Rechercher photo</v>
      </c>
      <c r="D21" s="3" t="s">
        <v>130</v>
      </c>
      <c r="E21" s="5">
        <v>2906.0</v>
      </c>
      <c r="F21" s="3" t="s">
        <v>131</v>
      </c>
      <c r="G21" s="5">
        <v>2050.0</v>
      </c>
      <c r="H21" s="3" t="s">
        <v>309</v>
      </c>
      <c r="I21" s="5">
        <v>2050.0</v>
      </c>
      <c r="J21" s="3" t="s">
        <v>132</v>
      </c>
      <c r="K21" s="5">
        <v>4.0</v>
      </c>
      <c r="L21" s="5">
        <v>856.0</v>
      </c>
      <c r="M21" s="6">
        <v>5.0</v>
      </c>
      <c r="N21" s="6">
        <v>4.0</v>
      </c>
      <c r="O21" s="6">
        <v>4.0</v>
      </c>
      <c r="P21" s="6">
        <v>4.0</v>
      </c>
      <c r="Q21" s="6">
        <v>5.0</v>
      </c>
      <c r="R21" s="7">
        <f t="shared" si="1"/>
        <v>4</v>
      </c>
      <c r="S21" s="6">
        <v>4.0</v>
      </c>
      <c r="T21" s="3" t="s">
        <v>133</v>
      </c>
      <c r="U21" s="3" t="s">
        <v>134</v>
      </c>
      <c r="V21" s="4"/>
      <c r="W21" s="8" t="str">
        <f>HYPERLINK("https://www.google.com/maps/place/Bivacco+Rivolta/data=!4m2!3m1!1s0x4788cf94d7e7f63b:0x2b2712aa1870cc69","Ouvrir Maps")</f>
        <v>Ouvrir Maps</v>
      </c>
      <c r="X21" s="8" t="str">
        <f>HYPERLINK("https://www.google.com/search?tbm=isch&amp;q=Bivacco+Rivolta+refuge+bivouac+montagne+photo","Recherche photos")</f>
        <v>Recherche photos</v>
      </c>
      <c r="Y21" s="4"/>
      <c r="Z21" s="3" t="s">
        <v>50</v>
      </c>
      <c r="AA21" s="3" t="s">
        <v>135</v>
      </c>
      <c r="AB21" s="9">
        <f t="shared" si="2"/>
        <v>3.94</v>
      </c>
    </row>
    <row r="22" ht="86.25" customHeight="1">
      <c r="A22" s="3" t="s">
        <v>25</v>
      </c>
      <c r="B22" s="3" t="s">
        <v>310</v>
      </c>
      <c r="C22" s="8" t="str">
        <f>HYPERLINK("https://www.google.com/search?tbm=isch&amp;q=Bivacco+Bonelli+refuge+bivouac+montagne+photo","🔎 Rechercher photo")</f>
        <v>🔎 Rechercher photo</v>
      </c>
      <c r="D22" s="3" t="s">
        <v>224</v>
      </c>
      <c r="E22" s="5">
        <v>2328.0</v>
      </c>
      <c r="F22" s="3" t="s">
        <v>311</v>
      </c>
      <c r="G22" s="5">
        <v>1800.0</v>
      </c>
      <c r="H22" s="3" t="s">
        <v>271</v>
      </c>
      <c r="I22" s="5">
        <v>1800.0</v>
      </c>
      <c r="J22" s="3" t="s">
        <v>226</v>
      </c>
      <c r="K22" s="5">
        <v>2.5</v>
      </c>
      <c r="L22" s="5">
        <v>528.0</v>
      </c>
      <c r="M22" s="6">
        <v>4.0</v>
      </c>
      <c r="N22" s="6">
        <v>4.0</v>
      </c>
      <c r="O22" s="6">
        <v>4.0</v>
      </c>
      <c r="P22" s="6">
        <v>4.0</v>
      </c>
      <c r="Q22" s="6">
        <v>4.0</v>
      </c>
      <c r="R22" s="7">
        <f t="shared" si="1"/>
        <v>4</v>
      </c>
      <c r="S22" s="6">
        <v>2.0</v>
      </c>
      <c r="T22" s="3" t="s">
        <v>312</v>
      </c>
      <c r="U22" s="3" t="s">
        <v>313</v>
      </c>
      <c r="V22" s="4"/>
      <c r="W22" s="8" t="str">
        <f>HYPERLINK("https://www.google.com/maps/place/Bivacco+Bonelli/data=!4m2!3m1!1s0x12cce7d4a7071467:0x18489db159e0e15","Ouvrir Maps")</f>
        <v>Ouvrir Maps</v>
      </c>
      <c r="X22" s="8" t="str">
        <f>HYPERLINK("https://www.google.com/search?tbm=isch&amp;q=Bivacco+Bonelli+refuge+bivouac+montagne+photo","Recherche photos")</f>
        <v>Recherche photos</v>
      </c>
      <c r="Y22" s="4"/>
      <c r="Z22" s="3" t="s">
        <v>50</v>
      </c>
      <c r="AA22" s="3" t="s">
        <v>63</v>
      </c>
      <c r="AB22" s="9">
        <f t="shared" si="2"/>
        <v>3.92</v>
      </c>
    </row>
    <row r="23" ht="86.25" customHeight="1">
      <c r="A23" s="3" t="s">
        <v>25</v>
      </c>
      <c r="B23" s="3" t="s">
        <v>97</v>
      </c>
      <c r="C23" s="4" t="str">
        <f>IFERROR(IMAGE("https://www.saliinvetta.com/images/TREKKING/BivaccoCarpanoDalRifugioPontese/BivaccoCarpanoInterno.JPG",4,92,160),"Photo indisponible")</f>
        <v/>
      </c>
      <c r="D23" s="3" t="s">
        <v>65</v>
      </c>
      <c r="E23" s="5">
        <v>2865.0</v>
      </c>
      <c r="F23" s="3" t="s">
        <v>98</v>
      </c>
      <c r="G23" s="5">
        <v>1917.0</v>
      </c>
      <c r="H23" s="3" t="s">
        <v>314</v>
      </c>
      <c r="I23" s="5">
        <v>1400.0</v>
      </c>
      <c r="J23" s="3" t="s">
        <v>99</v>
      </c>
      <c r="K23" s="5">
        <v>3.5</v>
      </c>
      <c r="L23" s="5">
        <v>948.0</v>
      </c>
      <c r="M23" s="6">
        <v>4.0</v>
      </c>
      <c r="N23" s="6">
        <v>5.0</v>
      </c>
      <c r="O23" s="6">
        <v>5.0</v>
      </c>
      <c r="P23" s="6">
        <v>4.0</v>
      </c>
      <c r="Q23" s="6">
        <v>5.0</v>
      </c>
      <c r="R23" s="7">
        <f t="shared" si="1"/>
        <v>4</v>
      </c>
      <c r="S23" s="6">
        <v>4.0</v>
      </c>
      <c r="T23" s="3" t="s">
        <v>100</v>
      </c>
      <c r="U23" s="3" t="s">
        <v>101</v>
      </c>
      <c r="V23" s="4"/>
      <c r="W23" s="8" t="str">
        <f>HYPERLINK("https://www.google.com/maps/place/Bivacco+Carpano/data=!4m2!3m1!1s0x4788fdf01028c3e9:0xff8ca25aeefa7a8e","Ouvrir Maps")</f>
        <v>Ouvrir Maps</v>
      </c>
      <c r="X23" s="8" t="str">
        <f>HYPERLINK("https://www.saliinvetta.com/images/TREKKING/BivaccoCarpanoDalRifugioPontese/BivaccoCarpanoInterno.JPG","Photo HD")</f>
        <v>Photo HD</v>
      </c>
      <c r="Y23" s="4"/>
      <c r="Z23" s="3" t="s">
        <v>50</v>
      </c>
      <c r="AA23" s="4"/>
      <c r="AB23" s="9">
        <f t="shared" si="2"/>
        <v>3.89</v>
      </c>
    </row>
    <row r="24" ht="86.25" customHeight="1">
      <c r="A24" s="3" t="s">
        <v>25</v>
      </c>
      <c r="B24" s="3" t="s">
        <v>64</v>
      </c>
      <c r="C24" s="8" t="str">
        <f>HYPERLINK("https://www.google.com/search?tbm=isch&amp;q=rifugio+Vittorio+Raffaele+Leonesi+refuge+bivouac+montagne+photo","🔎 Rechercher photo")</f>
        <v>🔎 Rechercher photo</v>
      </c>
      <c r="D24" s="3" t="s">
        <v>65</v>
      </c>
      <c r="E24" s="5">
        <v>2900.0</v>
      </c>
      <c r="F24" s="3" t="s">
        <v>66</v>
      </c>
      <c r="G24" s="5">
        <v>1600.0</v>
      </c>
      <c r="H24" s="3" t="s">
        <v>315</v>
      </c>
      <c r="I24" s="5">
        <v>1060.0</v>
      </c>
      <c r="J24" s="3" t="s">
        <v>67</v>
      </c>
      <c r="K24" s="5">
        <v>5.0</v>
      </c>
      <c r="L24" s="5">
        <v>1300.0</v>
      </c>
      <c r="M24" s="6">
        <v>4.0</v>
      </c>
      <c r="N24" s="6">
        <v>5.0</v>
      </c>
      <c r="O24" s="6">
        <v>5.0</v>
      </c>
      <c r="P24" s="6">
        <v>4.0</v>
      </c>
      <c r="Q24" s="6">
        <v>5.0</v>
      </c>
      <c r="R24" s="7">
        <f t="shared" si="1"/>
        <v>4</v>
      </c>
      <c r="S24" s="6">
        <v>4.0</v>
      </c>
      <c r="T24" s="3" t="s">
        <v>68</v>
      </c>
      <c r="U24" s="3" t="s">
        <v>69</v>
      </c>
      <c r="V24" s="4"/>
      <c r="W24" s="8" t="str">
        <f>HYPERLINK("https://www.google.com/maps/place/rifugio+Vittorio+Raffaele+Leonesi/data=!4m2!3m1!1s0x478900e3afa816c5:0x1ece3548ef3de5a8","Ouvrir Maps")</f>
        <v>Ouvrir Maps</v>
      </c>
      <c r="X24" s="8" t="str">
        <f>HYPERLINK("https://www.google.com/search?tbm=isch&amp;q=rifugio+Vittorio+Raffaele+Leonesi+refuge+bivouac+montagne+photo","Recherche photos")</f>
        <v>Recherche photos</v>
      </c>
      <c r="Y24" s="4"/>
      <c r="Z24" s="3" t="s">
        <v>50</v>
      </c>
      <c r="AA24" s="3" t="s">
        <v>70</v>
      </c>
      <c r="AB24" s="9">
        <f t="shared" si="2"/>
        <v>3.84</v>
      </c>
    </row>
    <row r="25" ht="86.25" customHeight="1">
      <c r="A25" s="3" t="s">
        <v>25</v>
      </c>
      <c r="B25" s="3" t="s">
        <v>316</v>
      </c>
      <c r="C25" s="8" t="str">
        <f>HYPERLINK("https://www.google.com/search?tbm=isch&amp;q=Refuge+du+Pigeonnier+refuge+bivouac+montagne+photo","🔎 Rechercher photo")</f>
        <v>🔎 Rechercher photo</v>
      </c>
      <c r="D25" s="3" t="s">
        <v>162</v>
      </c>
      <c r="E25" s="5">
        <v>2430.0</v>
      </c>
      <c r="F25" s="3" t="s">
        <v>317</v>
      </c>
      <c r="G25" s="5">
        <v>1750.0</v>
      </c>
      <c r="H25" s="3" t="s">
        <v>318</v>
      </c>
      <c r="I25" s="5">
        <v>1050.0</v>
      </c>
      <c r="J25" s="3" t="s">
        <v>86</v>
      </c>
      <c r="K25" s="5">
        <v>2.5</v>
      </c>
      <c r="L25" s="5">
        <v>680.0</v>
      </c>
      <c r="M25" s="6">
        <v>4.0</v>
      </c>
      <c r="N25" s="6">
        <v>3.0</v>
      </c>
      <c r="O25" s="6">
        <v>2.0</v>
      </c>
      <c r="P25" s="6">
        <v>5.0</v>
      </c>
      <c r="Q25" s="6">
        <v>5.0</v>
      </c>
      <c r="R25" s="7">
        <f t="shared" si="1"/>
        <v>4</v>
      </c>
      <c r="S25" s="6">
        <v>2.0</v>
      </c>
      <c r="T25" s="3" t="s">
        <v>319</v>
      </c>
      <c r="U25" s="3" t="s">
        <v>320</v>
      </c>
      <c r="V25" s="4"/>
      <c r="W25" s="8" t="str">
        <f>HYPERLINK("https://www.google.com/maps/place/Refuge+du+Pigeonnier/data=!4m2!3m1!1s0x478a07a7e75f2bff:0x2e0bbe7a3653cbef","Ouvrir Maps")</f>
        <v>Ouvrir Maps</v>
      </c>
      <c r="X25" s="8" t="str">
        <f>HYPERLINK("https://www.google.com/search?tbm=isch&amp;q=Refuge+du+Pigeonnier+refuge+bivouac+montagne+photo","Recherche photos")</f>
        <v>Recherche photos</v>
      </c>
      <c r="Y25" s="4"/>
      <c r="Z25" s="3" t="s">
        <v>50</v>
      </c>
      <c r="AA25" s="4"/>
      <c r="AB25" s="9">
        <f t="shared" si="2"/>
        <v>3.83</v>
      </c>
    </row>
    <row r="26" ht="86.25" customHeight="1">
      <c r="A26" s="3" t="s">
        <v>25</v>
      </c>
      <c r="B26" s="3" t="s">
        <v>230</v>
      </c>
      <c r="C26" s="8" t="str">
        <f>HYPERLINK("https://www.google.com/search?tbm=isch&amp;q=Bivacco+Salvasera+refuge+bivouac+montagne+photo","🔎 Rechercher photo")</f>
        <v>🔎 Rechercher photo</v>
      </c>
      <c r="D26" s="3" t="s">
        <v>231</v>
      </c>
      <c r="E26" s="5">
        <v>2594.0</v>
      </c>
      <c r="F26" s="3" t="s">
        <v>232</v>
      </c>
      <c r="G26" s="5">
        <v>1670.0</v>
      </c>
      <c r="H26" s="3" t="s">
        <v>321</v>
      </c>
      <c r="I26" s="5">
        <v>1670.0</v>
      </c>
      <c r="J26" s="3" t="s">
        <v>125</v>
      </c>
      <c r="K26" s="5">
        <v>3.5</v>
      </c>
      <c r="L26" s="5">
        <v>924.0</v>
      </c>
      <c r="M26" s="6">
        <v>5.0</v>
      </c>
      <c r="N26" s="6">
        <v>4.0</v>
      </c>
      <c r="O26" s="6">
        <v>4.0</v>
      </c>
      <c r="P26" s="6">
        <v>4.0</v>
      </c>
      <c r="Q26" s="6">
        <v>4.0</v>
      </c>
      <c r="R26" s="7">
        <f t="shared" si="1"/>
        <v>4</v>
      </c>
      <c r="S26" s="6">
        <v>4.0</v>
      </c>
      <c r="T26" s="3" t="s">
        <v>233</v>
      </c>
      <c r="U26" s="3" t="s">
        <v>234</v>
      </c>
      <c r="V26" s="4"/>
      <c r="W26" s="8" t="str">
        <f>HYPERLINK("https://www.google.com/maps/place/Bivacco+Salvasera/data=!4m2!3m1!1s0x4789d7ef159956ef:0x9be451360ebe36ea","Ouvrir Maps")</f>
        <v>Ouvrir Maps</v>
      </c>
      <c r="X26" s="8" t="str">
        <f>HYPERLINK("https://www.google.com/search?tbm=isch&amp;q=Bivacco+Salvasera+refuge+bivouac+montagne+photo","Recherche photos")</f>
        <v>Recherche photos</v>
      </c>
      <c r="Y26" s="10" t="s">
        <v>235</v>
      </c>
      <c r="Z26" s="3" t="s">
        <v>81</v>
      </c>
      <c r="AA26" s="4"/>
      <c r="AB26" s="9">
        <f t="shared" si="2"/>
        <v>3.83</v>
      </c>
    </row>
    <row r="27" ht="86.25" customHeight="1">
      <c r="A27" s="3" t="s">
        <v>25</v>
      </c>
      <c r="B27" s="3" t="s">
        <v>76</v>
      </c>
      <c r="C27" s="8" t="str">
        <f>HYPERLINK("https://www.google.com/search?tbm=isch&amp;q=Refuge+des+Bouquetins+CAS+refuge+bivouac+montagne+photo","🔎 Rechercher photo")</f>
        <v>🔎 Rechercher photo</v>
      </c>
      <c r="D27" s="3" t="s">
        <v>27</v>
      </c>
      <c r="E27" s="5">
        <v>2980.0</v>
      </c>
      <c r="F27" s="3" t="s">
        <v>77</v>
      </c>
      <c r="G27" s="5">
        <v>1960.0</v>
      </c>
      <c r="H27" s="3" t="s">
        <v>146</v>
      </c>
      <c r="I27" s="5">
        <v>1960.0</v>
      </c>
      <c r="J27" s="3" t="s">
        <v>29</v>
      </c>
      <c r="K27" s="5">
        <v>4.0</v>
      </c>
      <c r="L27" s="5">
        <v>1020.0</v>
      </c>
      <c r="M27" s="6">
        <v>4.0</v>
      </c>
      <c r="N27" s="6">
        <v>5.0</v>
      </c>
      <c r="O27" s="6">
        <v>5.0</v>
      </c>
      <c r="P27" s="6">
        <v>4.0</v>
      </c>
      <c r="Q27" s="6">
        <v>5.0</v>
      </c>
      <c r="R27" s="7">
        <f t="shared" si="1"/>
        <v>4</v>
      </c>
      <c r="S27" s="6">
        <v>4.0</v>
      </c>
      <c r="T27" s="3" t="s">
        <v>78</v>
      </c>
      <c r="U27" s="3" t="s">
        <v>79</v>
      </c>
      <c r="V27" s="4"/>
      <c r="W27" s="8" t="str">
        <f>HYPERLINK("https://www.google.com/maps/place/Refuge+des+Bouquetins+CAS/data=!4m2!3m1!1s0x478f2cd8262a6dad:0xc986f40f46bb483f","Ouvrir Maps")</f>
        <v>Ouvrir Maps</v>
      </c>
      <c r="X27" s="8" t="str">
        <f>HYPERLINK("https://www.google.com/search?tbm=isch&amp;q=Refuge+des+Bouquetins+CAS+refuge+bivouac+montagne+photo","Recherche photos")</f>
        <v>Recherche photos</v>
      </c>
      <c r="Y27" s="10" t="s">
        <v>80</v>
      </c>
      <c r="Z27" s="3" t="s">
        <v>81</v>
      </c>
      <c r="AA27" s="3" t="s">
        <v>82</v>
      </c>
      <c r="AB27" s="9">
        <f t="shared" si="2"/>
        <v>3.82</v>
      </c>
    </row>
    <row r="28" ht="86.25" customHeight="1">
      <c r="A28" s="3" t="s">
        <v>25</v>
      </c>
      <c r="B28" s="3" t="s">
        <v>322</v>
      </c>
      <c r="C28" s="4" t="str">
        <f>IFERROR(IMAGE("https://s1.wklcdn.com/image_130/3907472/224927492/135308989Master.jpg",4,92,160),"Photo indisponible")</f>
        <v/>
      </c>
      <c r="D28" s="3" t="s">
        <v>323</v>
      </c>
      <c r="E28" s="5">
        <v>2447.0</v>
      </c>
      <c r="F28" s="3" t="s">
        <v>324</v>
      </c>
      <c r="G28" s="5">
        <v>1090.0</v>
      </c>
      <c r="H28" s="3" t="s">
        <v>325</v>
      </c>
      <c r="I28" s="5">
        <v>1090.0</v>
      </c>
      <c r="J28" s="3" t="s">
        <v>47</v>
      </c>
      <c r="K28" s="5">
        <v>4.0</v>
      </c>
      <c r="L28" s="5">
        <v>1357.0</v>
      </c>
      <c r="M28" s="6">
        <v>5.0</v>
      </c>
      <c r="N28" s="6">
        <v>5.0</v>
      </c>
      <c r="O28" s="6">
        <v>5.0</v>
      </c>
      <c r="P28" s="6">
        <v>3.0</v>
      </c>
      <c r="Q28" s="6">
        <v>4.0</v>
      </c>
      <c r="R28" s="7">
        <f t="shared" si="1"/>
        <v>4</v>
      </c>
      <c r="S28" s="6">
        <v>4.0</v>
      </c>
      <c r="T28" s="3" t="s">
        <v>326</v>
      </c>
      <c r="U28" s="3" t="s">
        <v>327</v>
      </c>
      <c r="V28" s="4"/>
      <c r="W28" s="8" t="str">
        <f>HYPERLINK("https://www.google.com/maps/place/Bivacco+Farello/data=!4m2!3m1!1s0x478f61fe09af9121:0xfd2bd6e6c4d7b28","Ouvrir Maps")</f>
        <v>Ouvrir Maps</v>
      </c>
      <c r="X28" s="8" t="str">
        <f>HYPERLINK("https://www.google.com/search?tbm=isch&amp;q=Bivacco+Farello+refuge+bivouac+montagne+photo","Recherche photos")</f>
        <v>Recherche photos</v>
      </c>
      <c r="Y28" s="10" t="s">
        <v>328</v>
      </c>
      <c r="Z28" s="3" t="s">
        <v>81</v>
      </c>
      <c r="AA28" s="3" t="s">
        <v>329</v>
      </c>
      <c r="AB28" s="9">
        <f t="shared" si="2"/>
        <v>3.81</v>
      </c>
    </row>
    <row r="29" ht="86.25" customHeight="1">
      <c r="A29" s="3" t="s">
        <v>25</v>
      </c>
      <c r="B29" s="3" t="s">
        <v>330</v>
      </c>
      <c r="C29" s="4" t="str">
        <f>IFERROR(IMAGE("https://www.sac-cas.ch/processed/sa2020assetsprod/f/0/csm_1504766991_1684337261master_e08184a299.jpg",4,92,160),"Photo indisponible")</f>
        <v/>
      </c>
      <c r="D29" s="3" t="s">
        <v>331</v>
      </c>
      <c r="E29" s="5">
        <v>2428.0</v>
      </c>
      <c r="F29" s="3" t="s">
        <v>332</v>
      </c>
      <c r="G29" s="5">
        <v>1480.0</v>
      </c>
      <c r="H29" s="3" t="s">
        <v>332</v>
      </c>
      <c r="I29" s="5">
        <v>1480.0</v>
      </c>
      <c r="J29" s="3" t="s">
        <v>333</v>
      </c>
      <c r="K29" s="5">
        <v>2.5</v>
      </c>
      <c r="L29" s="5">
        <v>948.0</v>
      </c>
      <c r="M29" s="6">
        <v>4.0</v>
      </c>
      <c r="N29" s="6">
        <v>4.0</v>
      </c>
      <c r="O29" s="6">
        <v>4.0</v>
      </c>
      <c r="P29" s="6">
        <v>4.0</v>
      </c>
      <c r="Q29" s="6">
        <v>4.0</v>
      </c>
      <c r="R29" s="7">
        <f t="shared" si="1"/>
        <v>4</v>
      </c>
      <c r="S29" s="6">
        <v>2.0</v>
      </c>
      <c r="T29" s="3" t="s">
        <v>334</v>
      </c>
      <c r="U29" s="3" t="s">
        <v>335</v>
      </c>
      <c r="V29" s="8" t="str">
        <f>HYPERLINK("https://www.sac-cas.ch/en/huts-and-tours/sac-route-portal/laggin-biwak-sac-2147000144/mountain-hiking/","Site officiel")</f>
        <v>Site officiel</v>
      </c>
      <c r="W29" s="8" t="str">
        <f>HYPERLINK("https://www.google.com/maps/place/Laggin+Biwak/data=!4m2!3m1!1s0x478f5c879447c697:0x30570f45d2415284","Ouvrir Maps")</f>
        <v>Ouvrir Maps</v>
      </c>
      <c r="X29" s="8" t="str">
        <f>HYPERLINK("https://www.sac-cas.ch/processed/sa2020assetsprod/f/0/csm_1504766991_1684337261master_e08184a299.jpg","Photo HD")</f>
        <v>Photo HD</v>
      </c>
      <c r="Y29" s="8" t="str">
        <f>HYPERLINK("https://www.inalto.org/fr/rapports/randonnees/laggin-biwak-da-simplon-dorf","Fiche source")</f>
        <v>Fiche source</v>
      </c>
      <c r="Z29" s="3" t="s">
        <v>32</v>
      </c>
      <c r="AA29" s="3" t="s">
        <v>63</v>
      </c>
      <c r="AB29" s="9">
        <f t="shared" si="2"/>
        <v>3.8</v>
      </c>
    </row>
    <row r="30" ht="86.25" customHeight="1">
      <c r="A30" s="3" t="s">
        <v>25</v>
      </c>
      <c r="B30" s="3" t="s">
        <v>157</v>
      </c>
      <c r="C30" s="8" t="str">
        <f>HYPERLINK("https://www.google.com/search?tbm=isch&amp;q=Bivacco+Antigine+refuge+bivouac+montagne+photo","🔎 Rechercher photo")</f>
        <v>🔎 Rechercher photo</v>
      </c>
      <c r="D30" s="3" t="s">
        <v>92</v>
      </c>
      <c r="E30" s="5">
        <v>2855.0</v>
      </c>
      <c r="F30" s="3" t="s">
        <v>158</v>
      </c>
      <c r="G30" s="5">
        <v>1350.0</v>
      </c>
      <c r="H30" s="3" t="s">
        <v>265</v>
      </c>
      <c r="I30" s="5">
        <v>1098.0</v>
      </c>
      <c r="J30" s="3" t="s">
        <v>94</v>
      </c>
      <c r="K30" s="5">
        <v>4.0</v>
      </c>
      <c r="L30" s="5">
        <v>1505.0</v>
      </c>
      <c r="M30" s="6">
        <v>4.0</v>
      </c>
      <c r="N30" s="6">
        <v>5.0</v>
      </c>
      <c r="O30" s="6">
        <v>5.0</v>
      </c>
      <c r="P30" s="6">
        <v>4.0</v>
      </c>
      <c r="Q30" s="6">
        <v>5.0</v>
      </c>
      <c r="R30" s="7">
        <f t="shared" si="1"/>
        <v>4</v>
      </c>
      <c r="S30" s="6">
        <v>4.0</v>
      </c>
      <c r="T30" s="3" t="s">
        <v>159</v>
      </c>
      <c r="U30" s="3" t="s">
        <v>160</v>
      </c>
      <c r="V30" s="8" t="str">
        <f>HYPERLINK("https://www.comune.antronaschieranco.vb.it/en-us/vivere-il-comune/dove-dormire/bivacco-antigine-2855-mt-22331-1-00e0a8085a4169b89888efa07cdbac84","Site officiel")</f>
        <v>Site officiel</v>
      </c>
      <c r="W30" s="8" t="str">
        <f>HYPERLINK("https://www.google.com/maps/place/Bivacco+Antigine/data=!4m2!3m1!1s0x478f5185ae5874b5:0xf4ce773cf08a93ba","Ouvrir Maps")</f>
        <v>Ouvrir Maps</v>
      </c>
      <c r="X30" s="8" t="str">
        <f>HYPERLINK("https://www.google.com/search?tbm=isch&amp;q=Bivacco+Antigine+refuge+bivouac+montagne+photo","Recherche photos")</f>
        <v>Recherche photos</v>
      </c>
      <c r="Y30" s="8" t="str">
        <f>HYPERLINK("https://www.comune.antronaschieranco.vb.it/en-us/vivere-il-comune/dove-dormire/bivacco-antigine-2855-mt-22331-1-00e0a8085a4169b89888efa07cdbac84","Fiche source")</f>
        <v>Fiche source</v>
      </c>
      <c r="Z30" s="3" t="s">
        <v>32</v>
      </c>
      <c r="AA30" s="4"/>
      <c r="AB30" s="9">
        <f t="shared" si="2"/>
        <v>3.8</v>
      </c>
    </row>
    <row r="31" ht="86.25" customHeight="1">
      <c r="A31" s="3" t="s">
        <v>25</v>
      </c>
      <c r="B31" s="3" t="s">
        <v>39</v>
      </c>
      <c r="C31" s="4" t="str">
        <f>IFERROR(IMAGE("https://www.bergsteigen.com/fileadmin/_processed_/d/1/csm_stockhronbiwak-9_1de5692693.jpg",4,92,160),"Photo indisponible")</f>
        <v/>
      </c>
      <c r="D31" s="3" t="s">
        <v>40</v>
      </c>
      <c r="E31" s="5">
        <v>2598.0</v>
      </c>
      <c r="F31" s="3" t="s">
        <v>41</v>
      </c>
      <c r="G31" s="5">
        <v>970.0</v>
      </c>
      <c r="H31" s="3" t="s">
        <v>41</v>
      </c>
      <c r="I31" s="5">
        <v>970.0</v>
      </c>
      <c r="J31" s="3" t="s">
        <v>36</v>
      </c>
      <c r="K31" s="5">
        <v>6.5</v>
      </c>
      <c r="L31" s="5">
        <v>1628.0</v>
      </c>
      <c r="M31" s="6">
        <v>5.0</v>
      </c>
      <c r="N31" s="6">
        <v>5.0</v>
      </c>
      <c r="O31" s="6">
        <v>5.0</v>
      </c>
      <c r="P31" s="6">
        <v>5.0</v>
      </c>
      <c r="Q31" s="6">
        <v>5.0</v>
      </c>
      <c r="R31" s="7">
        <f t="shared" si="1"/>
        <v>4</v>
      </c>
      <c r="S31" s="6">
        <v>5.0</v>
      </c>
      <c r="T31" s="3" t="s">
        <v>42</v>
      </c>
      <c r="U31" s="3" t="s">
        <v>43</v>
      </c>
      <c r="V31" s="8" t="str">
        <f>HYPERLINK("https://www.sac-cas.ch/fr/cabanes-et-courses/portail-des-courses-du-cas/stockhornbiwak-sac-2147000258/","Site officiel")</f>
        <v>Site officiel</v>
      </c>
      <c r="W31" s="8" t="str">
        <f>HYPERLINK("https://www.google.com/maps/place/Stockhornbiwak+SAC/data=!4m2!3m1!1s0x478f6d380c649801:0x2af75228f92aa18","Ouvrir Maps")</f>
        <v>Ouvrir Maps</v>
      </c>
      <c r="X31" s="8" t="str">
        <f>HYPERLINK("https://www.bergsteigen.com/fileadmin/_processed_/d/1/csm_stockhronbiwak-9_1de5692693.jpg","Photo HD")</f>
        <v>Photo HD</v>
      </c>
      <c r="Y31" s="8" t="str">
        <f>HYPERLINK("https://www.sac-cas.ch/fr/cabanes-et-courses/portail-des-courses-du-cas/stockhornbiwak-sac-2147000258/","Fiche source")</f>
        <v>Fiche source</v>
      </c>
      <c r="Z31" s="3" t="s">
        <v>32</v>
      </c>
      <c r="AA31" s="4"/>
      <c r="AB31" s="9">
        <f t="shared" si="2"/>
        <v>3.79</v>
      </c>
    </row>
    <row r="32" ht="86.25" customHeight="1">
      <c r="A32" s="3" t="s">
        <v>25</v>
      </c>
      <c r="B32" s="3" t="s">
        <v>167</v>
      </c>
      <c r="C32" s="8" t="str">
        <f>HYPERLINK("https://www.google.com/search?tbm=isch&amp;q=Bivacco+Walter+Blais+refuge+bivouac+montagne+photo","🔎 Rechercher photo")</f>
        <v>🔎 Rechercher photo</v>
      </c>
      <c r="D32" s="3" t="s">
        <v>168</v>
      </c>
      <c r="E32" s="5">
        <v>2925.0</v>
      </c>
      <c r="F32" s="3" t="s">
        <v>169</v>
      </c>
      <c r="G32" s="5">
        <v>1849.0</v>
      </c>
      <c r="H32" s="3" t="s">
        <v>336</v>
      </c>
      <c r="I32" s="5">
        <v>1400.0</v>
      </c>
      <c r="J32" s="3" t="s">
        <v>170</v>
      </c>
      <c r="K32" s="5">
        <v>3.5</v>
      </c>
      <c r="L32" s="5">
        <v>1076.0</v>
      </c>
      <c r="M32" s="6">
        <v>4.0</v>
      </c>
      <c r="N32" s="6">
        <v>5.0</v>
      </c>
      <c r="O32" s="6">
        <v>5.0</v>
      </c>
      <c r="P32" s="6">
        <v>4.0</v>
      </c>
      <c r="Q32" s="6">
        <v>4.0</v>
      </c>
      <c r="R32" s="7">
        <f t="shared" si="1"/>
        <v>4</v>
      </c>
      <c r="S32" s="6">
        <v>4.0</v>
      </c>
      <c r="T32" s="3" t="s">
        <v>171</v>
      </c>
      <c r="U32" s="3" t="s">
        <v>172</v>
      </c>
      <c r="V32" s="4"/>
      <c r="W32" s="8" t="str">
        <f>HYPERLINK("https://www.google.com/maps/place/Bivacco+Walter+Blais/data=!4m2!3m1!1s0x4789befb9ca2f5ad:0x86d84408f92cc513","Ouvrir Maps")</f>
        <v>Ouvrir Maps</v>
      </c>
      <c r="X32" s="8" t="str">
        <f>HYPERLINK("https://www.google.com/search?tbm=isch&amp;q=Bivacco+Walter+Blais+refuge+bivouac+montagne+photo","Recherche photos")</f>
        <v>Recherche photos</v>
      </c>
      <c r="Y32" s="10" t="s">
        <v>173</v>
      </c>
      <c r="Z32" s="3" t="s">
        <v>81</v>
      </c>
      <c r="AA32" s="4"/>
      <c r="AB32" s="9">
        <f t="shared" si="2"/>
        <v>3.76</v>
      </c>
    </row>
    <row r="33" ht="86.25" customHeight="1">
      <c r="A33" s="3" t="s">
        <v>25</v>
      </c>
      <c r="B33" s="3" t="s">
        <v>179</v>
      </c>
      <c r="C33" s="8" t="str">
        <f>HYPERLINK("https://www.google.com/search?tbm=isch&amp;q=Refuge+des+Dents+du+Midi+refuge+bivouac+montagne+photo","🔎 Rechercher photo")</f>
        <v>🔎 Rechercher photo</v>
      </c>
      <c r="D33" s="3" t="s">
        <v>180</v>
      </c>
      <c r="E33" s="5">
        <v>2884.0</v>
      </c>
      <c r="F33" s="3" t="s">
        <v>181</v>
      </c>
      <c r="G33" s="5">
        <v>1640.0</v>
      </c>
      <c r="H33" s="3" t="s">
        <v>337</v>
      </c>
      <c r="I33" s="5">
        <v>1120.0</v>
      </c>
      <c r="J33" s="3" t="s">
        <v>182</v>
      </c>
      <c r="K33" s="5">
        <v>4.0</v>
      </c>
      <c r="L33" s="5">
        <v>1244.0</v>
      </c>
      <c r="M33" s="6">
        <v>4.0</v>
      </c>
      <c r="N33" s="6">
        <v>4.0</v>
      </c>
      <c r="O33" s="6">
        <v>4.0</v>
      </c>
      <c r="P33" s="6">
        <v>5.0</v>
      </c>
      <c r="Q33" s="6">
        <v>5.0</v>
      </c>
      <c r="R33" s="7">
        <f t="shared" si="1"/>
        <v>4</v>
      </c>
      <c r="S33" s="6">
        <v>4.0</v>
      </c>
      <c r="T33" s="3" t="s">
        <v>183</v>
      </c>
      <c r="U33" s="3" t="s">
        <v>184</v>
      </c>
      <c r="V33" s="4"/>
      <c r="W33" s="8" t="str">
        <f>HYPERLINK("https://www.google.com/maps/place/Refuge+des+Dents+du+Midi/data=!4m2!3m1!1s0x478eba8921faeaf7:0x6b799d45f53a6421","Ouvrir Maps")</f>
        <v>Ouvrir Maps</v>
      </c>
      <c r="X33" s="8" t="str">
        <f>HYPERLINK("https://www.google.com/search?tbm=isch&amp;q=Refuge+des+Dents+du+Midi+refuge+bivouac+montagne+photo","Recherche photos")</f>
        <v>Recherche photos</v>
      </c>
      <c r="Y33" s="4"/>
      <c r="Z33" s="3" t="s">
        <v>50</v>
      </c>
      <c r="AA33" s="4"/>
      <c r="AB33" s="9">
        <f t="shared" si="2"/>
        <v>3.73</v>
      </c>
    </row>
    <row r="34" ht="86.25" customHeight="1">
      <c r="A34" s="3" t="s">
        <v>25</v>
      </c>
      <c r="B34" s="3" t="s">
        <v>150</v>
      </c>
      <c r="C34" s="8" t="str">
        <f>HYPERLINK("https://www.google.com/search?tbm=isch&amp;q=Rifugio+Chiarella+Amiante+refuge+bivouac+montagne+photo","🔎 Rechercher photo")</f>
        <v>🔎 Rechercher photo</v>
      </c>
      <c r="D34" s="3" t="s">
        <v>151</v>
      </c>
      <c r="E34" s="5">
        <v>2979.0</v>
      </c>
      <c r="F34" s="3" t="s">
        <v>152</v>
      </c>
      <c r="G34" s="5">
        <v>1540.0</v>
      </c>
      <c r="H34" s="3" t="s">
        <v>280</v>
      </c>
      <c r="I34" s="5">
        <v>1350.0</v>
      </c>
      <c r="J34" s="3" t="s">
        <v>153</v>
      </c>
      <c r="K34" s="5">
        <v>4.5</v>
      </c>
      <c r="L34" s="5">
        <v>1439.0</v>
      </c>
      <c r="M34" s="6">
        <v>4.0</v>
      </c>
      <c r="N34" s="6">
        <v>4.0</v>
      </c>
      <c r="O34" s="6">
        <v>5.0</v>
      </c>
      <c r="P34" s="6">
        <v>4.0</v>
      </c>
      <c r="Q34" s="6">
        <v>5.0</v>
      </c>
      <c r="R34" s="7">
        <f t="shared" si="1"/>
        <v>4</v>
      </c>
      <c r="S34" s="6">
        <v>4.0</v>
      </c>
      <c r="T34" s="3" t="s">
        <v>154</v>
      </c>
      <c r="U34" s="3" t="s">
        <v>155</v>
      </c>
      <c r="V34" s="8" t="str">
        <f>HYPERLINK("https://www.caitorino.it/rifugi/chiarella/","Site officiel")</f>
        <v>Site officiel</v>
      </c>
      <c r="W34" s="8" t="str">
        <f>HYPERLINK("https://www.google.com/maps/place/Rifugio+Chiarella+Amiante/data=!4m2!3m1!1s0x47892bef3e399761:0x1c3e76e1e7c019cb","Ouvrir Maps")</f>
        <v>Ouvrir Maps</v>
      </c>
      <c r="X34" s="8" t="str">
        <f>HYPERLINK("https://www.google.com/search?tbm=isch&amp;q=Rifugio+Chiarella+Amiante+refuge+bivouac+montagne+photo","Recherche photos")</f>
        <v>Recherche photos</v>
      </c>
      <c r="Y34" s="8" t="str">
        <f>HYPERLINK("https://www.caitorino.it/itinerari/accesso-al-rifugio-chiarella-allamianthe","Fiche source")</f>
        <v>Fiche source</v>
      </c>
      <c r="Z34" s="3" t="s">
        <v>32</v>
      </c>
      <c r="AA34" s="3" t="s">
        <v>156</v>
      </c>
      <c r="AB34" s="9">
        <f t="shared" si="2"/>
        <v>3.71</v>
      </c>
    </row>
    <row r="35" ht="86.25" customHeight="1">
      <c r="A35" s="3" t="s">
        <v>25</v>
      </c>
      <c r="B35" s="3" t="s">
        <v>102</v>
      </c>
      <c r="C35" s="4" t="str">
        <f>IFERROR(IMAGE("https://siviaggia.it/wp-content/uploads/sites/2/2021/11/Bivouac-fanton-DEMOGO-1020-min.jpg",4,92,160),"Photo indisponible")</f>
        <v/>
      </c>
      <c r="D35" s="3" t="s">
        <v>103</v>
      </c>
      <c r="E35" s="5">
        <v>2667.0</v>
      </c>
      <c r="F35" s="3" t="s">
        <v>104</v>
      </c>
      <c r="G35" s="5">
        <v>1110.0</v>
      </c>
      <c r="H35" s="3" t="s">
        <v>338</v>
      </c>
      <c r="I35" s="5">
        <v>1110.0</v>
      </c>
      <c r="J35" s="3" t="s">
        <v>105</v>
      </c>
      <c r="K35" s="5">
        <v>4.8</v>
      </c>
      <c r="L35" s="5">
        <v>1557.0</v>
      </c>
      <c r="M35" s="6">
        <v>5.0</v>
      </c>
      <c r="N35" s="6">
        <v>5.0</v>
      </c>
      <c r="O35" s="6">
        <v>4.0</v>
      </c>
      <c r="P35" s="6">
        <v>5.0</v>
      </c>
      <c r="Q35" s="6">
        <v>5.0</v>
      </c>
      <c r="R35" s="7">
        <f t="shared" si="1"/>
        <v>4</v>
      </c>
      <c r="S35" s="6">
        <v>5.0</v>
      </c>
      <c r="T35" s="3" t="s">
        <v>106</v>
      </c>
      <c r="U35" s="3" t="s">
        <v>107</v>
      </c>
      <c r="V35" s="8" t="str">
        <f>HYPERLINK("https://www.caiauronzo.it/rifugi-e-bivacchi/","Site officiel")</f>
        <v>Site officiel</v>
      </c>
      <c r="W35" s="8" t="str">
        <f>HYPERLINK("https://www.google.com/maps/place/Bivouac+Fanton/data=!4m2!3m1!1s0x4779c9fbd5ff3663:0xbd28bd99ba0025a8","Ouvrir Maps")</f>
        <v>Ouvrir Maps</v>
      </c>
      <c r="X35" s="8" t="str">
        <f>HYPERLINK("https://siviaggia.it/wp-content/uploads/sites/2/2021/11/Bivouac-fanton-DEMOGO-1020-min.jpg","Photo HD")</f>
        <v>Photo HD</v>
      </c>
      <c r="Y35" s="8" t="str">
        <f>HYPERLINK("https://www.caiauronzo.it/rifugi-e-bivacchi/","Fiche source")</f>
        <v>Fiche source</v>
      </c>
      <c r="Z35" s="3" t="s">
        <v>32</v>
      </c>
      <c r="AA35" s="4"/>
      <c r="AB35" s="9">
        <f t="shared" si="2"/>
        <v>3.65</v>
      </c>
    </row>
    <row r="36" ht="86.25" customHeight="1">
      <c r="A36" s="3" t="s">
        <v>25</v>
      </c>
      <c r="B36" s="3" t="s">
        <v>123</v>
      </c>
      <c r="C36" s="4" t="str">
        <f>IFERROR(IMAGE("https://www.imuntagnin.it/gallery/20251012_112034_mus2mos8.jpg",4,92,160),"Photo indisponible")</f>
        <v/>
      </c>
      <c r="D36" s="3" t="s">
        <v>58</v>
      </c>
      <c r="E36" s="5">
        <v>2995.0</v>
      </c>
      <c r="F36" s="3" t="s">
        <v>124</v>
      </c>
      <c r="G36" s="5">
        <v>2165.0</v>
      </c>
      <c r="H36" s="3" t="s">
        <v>339</v>
      </c>
      <c r="I36" s="5">
        <v>1620.0</v>
      </c>
      <c r="J36" s="3" t="s">
        <v>125</v>
      </c>
      <c r="K36" s="5">
        <v>4.0</v>
      </c>
      <c r="L36" s="5">
        <v>830.0</v>
      </c>
      <c r="M36" s="6">
        <v>4.0</v>
      </c>
      <c r="N36" s="6">
        <v>4.0</v>
      </c>
      <c r="O36" s="6">
        <v>4.0</v>
      </c>
      <c r="P36" s="6">
        <v>4.0</v>
      </c>
      <c r="Q36" s="6">
        <v>5.0</v>
      </c>
      <c r="R36" s="7">
        <f t="shared" si="1"/>
        <v>4</v>
      </c>
      <c r="S36" s="6">
        <v>4.0</v>
      </c>
      <c r="T36" s="3" t="s">
        <v>126</v>
      </c>
      <c r="U36" s="3" t="s">
        <v>127</v>
      </c>
      <c r="V36" s="4"/>
      <c r="W36" s="8" t="str">
        <f>HYPERLINK("https://www.google.com/maps/place/Bivacco+Sommeiller/data=!4m2!3m1!1s0x4789bfa2b6663c1d:0xe1df56a0cd234506","Ouvrir Maps")</f>
        <v>Ouvrir Maps</v>
      </c>
      <c r="X36" s="8" t="str">
        <f>HYPERLINK("https://www.google.com/search?tbm=isch&amp;q=Bivacco+Sommeiller+refuge+bivouac+montagne+photo","Recherche photos")</f>
        <v>Recherche photos</v>
      </c>
      <c r="Y36" s="10" t="s">
        <v>128</v>
      </c>
      <c r="Z36" s="3" t="s">
        <v>81</v>
      </c>
      <c r="AA36" s="3" t="s">
        <v>63</v>
      </c>
      <c r="AB36" s="9">
        <f t="shared" si="2"/>
        <v>3.64</v>
      </c>
    </row>
    <row r="37" ht="86.25" customHeight="1">
      <c r="A37" s="3" t="s">
        <v>25</v>
      </c>
      <c r="B37" s="3" t="s">
        <v>207</v>
      </c>
      <c r="C37" s="8" t="str">
        <f>HYPERLINK("https://www.google.com/search?tbm=isch&amp;q=Cabane+de+Valsorey+CAS+refuge+bivouac+montagne+photo","🔎 Rechercher photo")</f>
        <v>🔎 Rechercher photo</v>
      </c>
      <c r="D37" s="3" t="s">
        <v>208</v>
      </c>
      <c r="E37" s="5">
        <v>3032.0</v>
      </c>
      <c r="F37" s="3" t="s">
        <v>209</v>
      </c>
      <c r="G37" s="5">
        <v>1640.0</v>
      </c>
      <c r="H37" s="3" t="s">
        <v>209</v>
      </c>
      <c r="I37" s="5">
        <v>1640.0</v>
      </c>
      <c r="J37" s="3" t="s">
        <v>210</v>
      </c>
      <c r="K37" s="5">
        <v>4.8</v>
      </c>
      <c r="L37" s="5">
        <v>1392.0</v>
      </c>
      <c r="M37" s="6">
        <v>4.0</v>
      </c>
      <c r="N37" s="6">
        <v>4.0</v>
      </c>
      <c r="O37" s="6">
        <v>3.0</v>
      </c>
      <c r="P37" s="6">
        <v>5.0</v>
      </c>
      <c r="Q37" s="6">
        <v>5.0</v>
      </c>
      <c r="R37" s="7">
        <f t="shared" si="1"/>
        <v>4</v>
      </c>
      <c r="S37" s="6">
        <v>4.0</v>
      </c>
      <c r="T37" s="3" t="s">
        <v>211</v>
      </c>
      <c r="U37" s="3" t="s">
        <v>212</v>
      </c>
      <c r="V37" s="8" t="str">
        <f>HYPERLINK("https://www.valsorey.ch/fr/acceder-cabane","Site officiel")</f>
        <v>Site officiel</v>
      </c>
      <c r="W37" s="8" t="str">
        <f>HYPERLINK("https://www.google.com/maps/place/Cabane+de+Valsorey+CAS/data=!4m2!3m1!1s0x47892c67fe82d707:0x7db81d6a1bea6af7","Ouvrir Maps")</f>
        <v>Ouvrir Maps</v>
      </c>
      <c r="X37" s="8" t="str">
        <f>HYPERLINK("https://www.google.com/search?tbm=isch&amp;q=Cabane+de+Valsorey+CAS+refuge+bivouac+montagne+photo","Recherche photos")</f>
        <v>Recherche photos</v>
      </c>
      <c r="Y37" s="8" t="str">
        <f>HYPERLINK("https://www.sac-cas.ch/fr/cabanes-et-courses/portail-des-courses-du-cas/cabane-de-valsorey-cas-2147000282/","Fiche source")</f>
        <v>Fiche source</v>
      </c>
      <c r="Z37" s="3" t="s">
        <v>32</v>
      </c>
      <c r="AA37" s="3" t="s">
        <v>213</v>
      </c>
      <c r="AB37" s="9">
        <f t="shared" si="2"/>
        <v>3.59</v>
      </c>
    </row>
    <row r="38" ht="86.25" customHeight="1">
      <c r="A38" s="3" t="s">
        <v>25</v>
      </c>
      <c r="B38" s="3" t="s">
        <v>214</v>
      </c>
      <c r="C38" s="8" t="str">
        <f>HYPERLINK("https://www.google.com/search?tbm=isch&amp;q=Bivacco+Ulrich+Lateltin+refuge+bivouac+montagne+photo","🔎 Rechercher photo")</f>
        <v>🔎 Rechercher photo</v>
      </c>
      <c r="D38" s="3" t="s">
        <v>215</v>
      </c>
      <c r="E38" s="5">
        <v>3132.0</v>
      </c>
      <c r="F38" s="3" t="s">
        <v>216</v>
      </c>
      <c r="G38" s="5">
        <v>1568.0</v>
      </c>
      <c r="H38" s="3" t="s">
        <v>340</v>
      </c>
      <c r="I38" s="5">
        <v>1568.0</v>
      </c>
      <c r="J38" s="3" t="s">
        <v>217</v>
      </c>
      <c r="K38" s="5">
        <v>4.0</v>
      </c>
      <c r="L38" s="5">
        <v>1564.0</v>
      </c>
      <c r="M38" s="6">
        <v>4.0</v>
      </c>
      <c r="N38" s="6">
        <v>4.0</v>
      </c>
      <c r="O38" s="6">
        <v>4.0</v>
      </c>
      <c r="P38" s="6">
        <v>4.0</v>
      </c>
      <c r="Q38" s="6">
        <v>5.0</v>
      </c>
      <c r="R38" s="7">
        <f t="shared" si="1"/>
        <v>4</v>
      </c>
      <c r="S38" s="6">
        <v>4.0</v>
      </c>
      <c r="T38" s="3" t="s">
        <v>218</v>
      </c>
      <c r="U38" s="3" t="s">
        <v>219</v>
      </c>
      <c r="V38" s="8" t="str">
        <f>HYPERLINK("https://www.lovevda.it/en/database/7/bivouacs/gressoney-saint-jean/ulrich-lateltin-bivouac/2921","Site officiel")</f>
        <v>Site officiel</v>
      </c>
      <c r="W38" s="8" t="str">
        <f>HYPERLINK("https://www.google.com/maps/place/Bivacco+Ulrich+Lateltin/data=!4m2!3m1!1s0x4788b7226d16df55:0x645217a9a7dbd363","Ouvrir Maps")</f>
        <v>Ouvrir Maps</v>
      </c>
      <c r="X38" s="8" t="str">
        <f>HYPERLINK("https://www.google.com/search?tbm=isch&amp;q=Bivacco+Ulrich+Lateltin+refuge+bivouac+montagne+photo","Recherche photos")</f>
        <v>Recherche photos</v>
      </c>
      <c r="Y38" s="8" t="str">
        <f>HYPERLINK("https://www.lovevda.it/en/database/7/bivouacs/gressoney-saint-jean/ulrich-lateltin-bivouac/2921","Fiche source")</f>
        <v>Fiche source</v>
      </c>
      <c r="Z38" s="3" t="s">
        <v>32</v>
      </c>
      <c r="AA38" s="4"/>
      <c r="AB38" s="9">
        <f t="shared" si="2"/>
        <v>3.59</v>
      </c>
    </row>
    <row r="39" ht="86.25" customHeight="1">
      <c r="A39" s="3" t="s">
        <v>25</v>
      </c>
      <c r="B39" s="3" t="s">
        <v>341</v>
      </c>
      <c r="C39" s="4" t="str">
        <f>IFERROR(IMAGE("https://www.suisseterroir.ch/common/showPhoto.asp?Fieldname=File1&amp;ID=4593&amp;Objectname=_Mod_adresseFiles",4,92,160),"Photo indisponible")</f>
        <v/>
      </c>
      <c r="D39" s="3" t="s">
        <v>342</v>
      </c>
      <c r="E39" s="5">
        <v>2440.0</v>
      </c>
      <c r="F39" s="3" t="s">
        <v>343</v>
      </c>
      <c r="G39" s="5">
        <v>1310.0</v>
      </c>
      <c r="H39" s="3" t="s">
        <v>344</v>
      </c>
      <c r="I39" s="5">
        <v>1350.0</v>
      </c>
      <c r="J39" s="3" t="s">
        <v>345</v>
      </c>
      <c r="K39" s="5">
        <v>3.0</v>
      </c>
      <c r="L39" s="5">
        <v>1130.0</v>
      </c>
      <c r="M39" s="6">
        <v>4.0</v>
      </c>
      <c r="N39" s="6">
        <v>2.0</v>
      </c>
      <c r="O39" s="6">
        <v>1.0</v>
      </c>
      <c r="P39" s="6">
        <v>5.0</v>
      </c>
      <c r="Q39" s="6">
        <v>5.0</v>
      </c>
      <c r="R39" s="7">
        <f t="shared" si="1"/>
        <v>3</v>
      </c>
      <c r="S39" s="6">
        <v>3.0</v>
      </c>
      <c r="T39" s="3" t="s">
        <v>346</v>
      </c>
      <c r="U39" s="3" t="s">
        <v>347</v>
      </c>
      <c r="V39" s="8" t="str">
        <f>HYPERLINK("https://fenestral.ch/","Site officiel")</f>
        <v>Site officiel</v>
      </c>
      <c r="W39" s="8" t="str">
        <f>HYPERLINK("https://www.google.com/maps/place/Cabane+du+Fenestral/data=!4m2!3m1!1s0x478ec771cab0a115:0x5f1714f1a55dfd70","Ouvrir Maps")</f>
        <v>Ouvrir Maps</v>
      </c>
      <c r="X39" s="8" t="str">
        <f>HYPERLINK("https://www.suisseterroir.ch/common/showPhoto.asp?Fieldname=File1&amp;ID=4593&amp;Objectname=_Mod_adresseFiles","Photo HD")</f>
        <v>Photo HD</v>
      </c>
      <c r="Y39" s="8" t="str">
        <f>HYPERLINK("https://www.sac-cas.ch/fr/cabanes-et-courses/portail-des-courses-du-cas/cabane-du-fenestral-2147000093/","Fiche source")</f>
        <v>Fiche source</v>
      </c>
      <c r="Z39" s="3" t="s">
        <v>32</v>
      </c>
      <c r="AA39" s="3" t="s">
        <v>63</v>
      </c>
      <c r="AB39" s="9">
        <f t="shared" si="2"/>
        <v>3.48</v>
      </c>
    </row>
    <row r="40" ht="86.25" customHeight="1">
      <c r="A40" s="3" t="s">
        <v>25</v>
      </c>
      <c r="B40" s="3" t="s">
        <v>191</v>
      </c>
      <c r="C40" s="4" t="str">
        <f>IFERROR(IMAGE("https://www.sac-cas.ch/processed/sa2020assetsprod/1/6/csm_1552317828_553814119master_eac9d85b02.jpg",4,92,160),"Photo indisponible")</f>
        <v/>
      </c>
      <c r="D40" s="3" t="s">
        <v>192</v>
      </c>
      <c r="E40" s="5">
        <v>3340.0</v>
      </c>
      <c r="F40" s="3" t="s">
        <v>193</v>
      </c>
      <c r="G40" s="5">
        <v>2350.0</v>
      </c>
      <c r="H40" s="3" t="s">
        <v>348</v>
      </c>
      <c r="I40" s="5">
        <v>1800.0</v>
      </c>
      <c r="J40" s="3" t="s">
        <v>36</v>
      </c>
      <c r="K40" s="5">
        <v>4.0</v>
      </c>
      <c r="L40" s="5">
        <v>990.0</v>
      </c>
      <c r="M40" s="6">
        <v>4.0</v>
      </c>
      <c r="N40" s="6">
        <v>3.0</v>
      </c>
      <c r="O40" s="6">
        <v>3.0</v>
      </c>
      <c r="P40" s="6">
        <v>5.0</v>
      </c>
      <c r="Q40" s="6">
        <v>5.0</v>
      </c>
      <c r="R40" s="7">
        <f t="shared" si="1"/>
        <v>3</v>
      </c>
      <c r="S40" s="6">
        <v>4.0</v>
      </c>
      <c r="T40" s="3" t="s">
        <v>194</v>
      </c>
      <c r="U40" s="3" t="s">
        <v>195</v>
      </c>
      <c r="V40" s="8" t="str">
        <f>HYPERLINK("https://www.mischabelhuette.ch/kopie-von-home","Site officiel")</f>
        <v>Site officiel</v>
      </c>
      <c r="W40" s="8" t="str">
        <f>HYPERLINK("https://www.google.com/maps/place/Mischabelh%C3%BCtte+AACZ/data=!4m2!3m1!1s0x478f460b2c84b941:0x8bf5d14be5139dfe","Ouvrir Maps")</f>
        <v>Ouvrir Maps</v>
      </c>
      <c r="X40" s="8" t="str">
        <f>HYPERLINK("https://www.sac-cas.ch/processed/sa2020assetsprod/1/6/csm_1552317828_553814119master_eac9d85b02.jpg","Photo HD")</f>
        <v>Photo HD</v>
      </c>
      <c r="Y40" s="8" t="str">
        <f>HYPERLINK("https://www.saas-fee.ch/en/accommodations/mountain-huts/mischabelhuette","Fiche source")</f>
        <v>Fiche source</v>
      </c>
      <c r="Z40" s="3" t="s">
        <v>32</v>
      </c>
      <c r="AA40" s="4"/>
      <c r="AB40" s="9">
        <f t="shared" si="2"/>
        <v>3.45</v>
      </c>
    </row>
    <row r="41" ht="86.25" customHeight="1">
      <c r="A41" s="3" t="s">
        <v>25</v>
      </c>
      <c r="B41" s="3" t="s">
        <v>349</v>
      </c>
      <c r="C41" s="4" t="str">
        <f>IFERROR(IMAGE("https://d2exd72xrrp1s7.cloudfront.net/www/000/1k9/1w/1wnw0cb3ia6s2emp92glcxmmo5d4fqs3l-uhi86205615/0?crop=true&amp;height=576&amp;width=768",4,92,160),"Photo indisponible")</f>
        <v/>
      </c>
      <c r="D41" s="3" t="s">
        <v>58</v>
      </c>
      <c r="E41" s="5">
        <v>2376.0</v>
      </c>
      <c r="F41" s="3" t="s">
        <v>350</v>
      </c>
      <c r="G41" s="5">
        <v>1420.0</v>
      </c>
      <c r="H41" s="3" t="s">
        <v>351</v>
      </c>
      <c r="I41" s="5">
        <v>1420.0</v>
      </c>
      <c r="J41" s="3" t="s">
        <v>60</v>
      </c>
      <c r="K41" s="5">
        <v>2.5</v>
      </c>
      <c r="L41" s="5">
        <v>956.0</v>
      </c>
      <c r="M41" s="6">
        <v>4.0</v>
      </c>
      <c r="N41" s="6">
        <v>2.0</v>
      </c>
      <c r="O41" s="6">
        <v>1.0</v>
      </c>
      <c r="P41" s="6">
        <v>5.0</v>
      </c>
      <c r="Q41" s="6">
        <v>4.0</v>
      </c>
      <c r="R41" s="7">
        <f t="shared" si="1"/>
        <v>3</v>
      </c>
      <c r="S41" s="6">
        <v>2.0</v>
      </c>
      <c r="T41" s="3" t="s">
        <v>352</v>
      </c>
      <c r="U41" s="3" t="s">
        <v>353</v>
      </c>
      <c r="V41" s="4"/>
      <c r="W41" s="8" t="str">
        <f>HYPERLINK("https://www.google.com/maps/place/Cima+del+Bosco/data=!4m2!3m1!1s0x4789db90c3dc61e9:0x9746d104baef82e","Ouvrir Maps")</f>
        <v>Ouvrir Maps</v>
      </c>
      <c r="X41" s="8" t="str">
        <f>HYPERLINK("https://d2exd72xrrp1s7.cloudfront.net/www/000/1k9/1w/1wnw0cb3ia6s2emp92glcxmmo5d4fqs3l-uhi86205615/0?crop=true&amp;height=576&amp;width=768","Photo HD")</f>
        <v>Photo HD</v>
      </c>
      <c r="Y41" s="4"/>
      <c r="Z41" s="3" t="s">
        <v>50</v>
      </c>
      <c r="AA41" s="3" t="s">
        <v>354</v>
      </c>
      <c r="AB41" s="9">
        <f t="shared" si="2"/>
        <v>3.42</v>
      </c>
    </row>
    <row r="42" ht="86.25" customHeight="1">
      <c r="A42" s="3" t="s">
        <v>25</v>
      </c>
      <c r="B42" s="3" t="s">
        <v>355</v>
      </c>
      <c r="C42" s="4" t="str">
        <f>IFERROR(IMAGE("https://img2.oastatic.com/img2/62566998/max/rif--alpetto.jpg",4,92,160),"Photo indisponible")</f>
        <v/>
      </c>
      <c r="D42" s="3" t="s">
        <v>356</v>
      </c>
      <c r="E42" s="5">
        <v>2268.0</v>
      </c>
      <c r="F42" s="3" t="s">
        <v>357</v>
      </c>
      <c r="G42" s="5">
        <v>2020.0</v>
      </c>
      <c r="H42" s="3" t="s">
        <v>358</v>
      </c>
      <c r="I42" s="5">
        <v>1650.0</v>
      </c>
      <c r="J42" s="3" t="s">
        <v>125</v>
      </c>
      <c r="K42" s="5">
        <v>2.5</v>
      </c>
      <c r="L42" s="5">
        <v>248.0</v>
      </c>
      <c r="M42" s="6">
        <v>4.0</v>
      </c>
      <c r="N42" s="6">
        <v>2.0</v>
      </c>
      <c r="O42" s="6">
        <v>1.0</v>
      </c>
      <c r="P42" s="6">
        <v>4.0</v>
      </c>
      <c r="Q42" s="6">
        <v>4.0</v>
      </c>
      <c r="R42" s="7">
        <f t="shared" si="1"/>
        <v>3</v>
      </c>
      <c r="S42" s="6">
        <v>2.0</v>
      </c>
      <c r="T42" s="3" t="s">
        <v>359</v>
      </c>
      <c r="U42" s="3" t="s">
        <v>360</v>
      </c>
      <c r="V42" s="8" t="str">
        <f>HYPERLINK("https://www.rifugioalpetto.it/","Site officiel")</f>
        <v>Site officiel</v>
      </c>
      <c r="W42" s="8" t="str">
        <f>HYPERLINK("https://www.google.com/maps/place/Rifugio+Alpetto/data=!4m2!3m1!1s0x12cd285033895bb3:0x5ccc6eaf092f3f46","Ouvrir Maps")</f>
        <v>Ouvrir Maps</v>
      </c>
      <c r="X42" s="8" t="str">
        <f>HYPERLINK("https://img2.oastatic.com/img2/62566998/max/rif--alpetto.jpg","Photo HD")</f>
        <v>Photo HD</v>
      </c>
      <c r="Y42" s="4"/>
      <c r="Z42" s="3" t="s">
        <v>50</v>
      </c>
      <c r="AA42" s="3" t="s">
        <v>361</v>
      </c>
      <c r="AB42" s="9">
        <f t="shared" si="2"/>
        <v>3.28</v>
      </c>
    </row>
    <row r="43" ht="86.25" customHeight="1">
      <c r="A43" s="3" t="s">
        <v>25</v>
      </c>
      <c r="B43" s="3" t="s">
        <v>362</v>
      </c>
      <c r="C43" s="8" t="str">
        <f>HYPERLINK("https://www.google.com/search?tbm=isch&amp;q=Cabane+du+berger+de+Chillol+%28coord.%29+refuge+bivouac+montagne+photo","🔎 Rechercher photo")</f>
        <v>🔎 Rechercher photo</v>
      </c>
      <c r="D43" s="3" t="s">
        <v>363</v>
      </c>
      <c r="E43" s="5">
        <v>2463.0</v>
      </c>
      <c r="F43" s="3" t="s">
        <v>364</v>
      </c>
      <c r="G43" s="5">
        <v>1830.0</v>
      </c>
      <c r="H43" s="3" t="s">
        <v>365</v>
      </c>
      <c r="I43" s="5">
        <v>1830.0</v>
      </c>
      <c r="J43" s="3" t="s">
        <v>366</v>
      </c>
      <c r="K43" s="5">
        <v>2.0</v>
      </c>
      <c r="L43" s="5">
        <v>633.0</v>
      </c>
      <c r="M43" s="6">
        <v>4.0</v>
      </c>
      <c r="N43" s="6">
        <v>5.0</v>
      </c>
      <c r="O43" s="6">
        <v>5.0</v>
      </c>
      <c r="P43" s="6">
        <v>3.0</v>
      </c>
      <c r="Q43" s="6">
        <v>4.0</v>
      </c>
      <c r="R43" s="7">
        <f t="shared" si="1"/>
        <v>3</v>
      </c>
      <c r="S43" s="6">
        <v>5.0</v>
      </c>
      <c r="T43" s="3" t="s">
        <v>367</v>
      </c>
      <c r="U43" s="3" t="s">
        <v>368</v>
      </c>
      <c r="V43" s="4"/>
      <c r="W43" s="8" t="str">
        <f>HYPERLINK("https://www.google.com/maps/search/44.565,6.837222","Ouvrir Maps")</f>
        <v>Ouvrir Maps</v>
      </c>
      <c r="X43" s="8" t="str">
        <f>HYPERLINK("https://www.google.com/search?tbm=isch&amp;q=Cabane+du+berger+de+Chillol+%28coord.%29+refuge+bivouac+montagne+photo","Recherche photos")</f>
        <v>Recherche photos</v>
      </c>
      <c r="Y43" s="10" t="s">
        <v>369</v>
      </c>
      <c r="Z43" s="3" t="s">
        <v>81</v>
      </c>
      <c r="AA43" s="3" t="s">
        <v>370</v>
      </c>
      <c r="AB43" s="9">
        <f t="shared" si="2"/>
        <v>3.27</v>
      </c>
    </row>
    <row r="44" ht="86.25" customHeight="1">
      <c r="A44" s="3" t="s">
        <v>25</v>
      </c>
      <c r="B44" s="3" t="s">
        <v>26</v>
      </c>
      <c r="C44" s="4" t="str">
        <f>IFERROR(IMAGE("https://www.sac-cas.ch/processed/sa2020assetsprod/c/f/csm_1530092624_976780551master_fa3a549d12.jpg",4,92,160),"Photo indisponible")</f>
        <v/>
      </c>
      <c r="D44" s="3" t="s">
        <v>27</v>
      </c>
      <c r="E44" s="5">
        <v>3540.0</v>
      </c>
      <c r="F44" s="3" t="s">
        <v>28</v>
      </c>
      <c r="G44" s="5">
        <v>1770.0</v>
      </c>
      <c r="H44" s="3" t="s">
        <v>371</v>
      </c>
      <c r="I44" s="5">
        <v>1770.0</v>
      </c>
      <c r="J44" s="3" t="s">
        <v>29</v>
      </c>
      <c r="K44" s="5">
        <v>6.0</v>
      </c>
      <c r="L44" s="5">
        <v>1770.0</v>
      </c>
      <c r="M44" s="6">
        <v>3.0</v>
      </c>
      <c r="N44" s="6">
        <v>5.0</v>
      </c>
      <c r="O44" s="6">
        <v>5.0</v>
      </c>
      <c r="P44" s="6">
        <v>5.0</v>
      </c>
      <c r="Q44" s="6">
        <v>5.0</v>
      </c>
      <c r="R44" s="7">
        <f t="shared" si="1"/>
        <v>3</v>
      </c>
      <c r="S44" s="6">
        <v>5.0</v>
      </c>
      <c r="T44" s="3" t="s">
        <v>30</v>
      </c>
      <c r="U44" s="3" t="s">
        <v>31</v>
      </c>
      <c r="V44" s="8" t="str">
        <f>HYPERLINK("https://www.sac-cas.ch/en/huts-and-tours/sac-route-portal/bivouac-au-col-de-la-dent-blanche-cas-2147000074/alpinism/","Site officiel")</f>
        <v>Site officiel</v>
      </c>
      <c r="W44" s="8" t="str">
        <f>HYPERLINK("https://www.google.com/maps/place/Bivouac+au+Col+de+la+Dent+Blanche+CAS/data=!4m2!3m1!1s0x478f31a1a2f10b93:0x4fc0ace4fff55e12","Ouvrir Maps")</f>
        <v>Ouvrir Maps</v>
      </c>
      <c r="X44" s="8" t="str">
        <f>HYPERLINK("https://www.sac-cas.ch/processed/sa2020assetsprod/c/f/csm_1530092624_976780551master_fa3a549d12.jpg","Photo HD")</f>
        <v>Photo HD</v>
      </c>
      <c r="Y44" s="8" t="str">
        <f>HYPERLINK("https://www.sac-cas.ch/en/huts-and-tours/sac-route-portal/bivouac-au-col-de-la-dent-blanche-cas-2147000074/alpinism/","Fiche source")</f>
        <v>Fiche source</v>
      </c>
      <c r="Z44" s="3" t="s">
        <v>32</v>
      </c>
      <c r="AA44" s="4"/>
      <c r="AB44" s="9">
        <f t="shared" si="2"/>
        <v>3.18</v>
      </c>
    </row>
    <row r="45" ht="86.25" customHeight="1">
      <c r="A45" s="3" t="s">
        <v>25</v>
      </c>
      <c r="B45" s="3" t="s">
        <v>372</v>
      </c>
      <c r="C45" s="4" t="str">
        <f>IFERROR(IMAGE("https://storage.ecodibergamo.it/media/photologue/2025/10/6/photos/cache/gamec-una-seconda-casa-sulle-orobie_cb066a98-a219-11f0-85d5-8e765c89b52c_1920_1080_v3_large_16_9.jpg",4,92,160),"Photo indisponible")</f>
        <v/>
      </c>
      <c r="D45" s="3" t="s">
        <v>373</v>
      </c>
      <c r="E45" s="5">
        <v>2250.0</v>
      </c>
      <c r="F45" s="3" t="s">
        <v>374</v>
      </c>
      <c r="G45" s="5">
        <v>890.0</v>
      </c>
      <c r="H45" s="3" t="s">
        <v>374</v>
      </c>
      <c r="I45" s="5">
        <v>890.0</v>
      </c>
      <c r="J45" s="3" t="s">
        <v>375</v>
      </c>
      <c r="K45" s="5">
        <v>3.5</v>
      </c>
      <c r="L45" s="5">
        <v>1360.0</v>
      </c>
      <c r="M45" s="6">
        <v>3.0</v>
      </c>
      <c r="N45" s="6">
        <v>4.0</v>
      </c>
      <c r="O45" s="6">
        <v>4.0</v>
      </c>
      <c r="P45" s="6">
        <v>4.0</v>
      </c>
      <c r="Q45" s="6">
        <v>4.0</v>
      </c>
      <c r="R45" s="7">
        <f t="shared" si="1"/>
        <v>3</v>
      </c>
      <c r="S45" s="6">
        <v>4.0</v>
      </c>
      <c r="T45" s="3" t="s">
        <v>376</v>
      </c>
      <c r="U45" s="3" t="s">
        <v>377</v>
      </c>
      <c r="V45" s="4"/>
      <c r="W45" s="8" t="str">
        <f>HYPERLINK("https://www.google.com/maps/place/Bivacco+Aldo+Frattini/data=!4m2!3m1!1s0x4783ec5dc66569b1:0xaa85b54b9f7479e4","Ouvrir Maps")</f>
        <v>Ouvrir Maps</v>
      </c>
      <c r="X45" s="8" t="str">
        <f>HYPERLINK("https://www.google.com/search?tbm=isch&amp;q=Bivacco+Aldo+Frattini+refuge+bivouac+montagne+photo","Recherche photos")</f>
        <v>Recherche photos</v>
      </c>
      <c r="Y45" s="10" t="s">
        <v>378</v>
      </c>
      <c r="Z45" s="3" t="s">
        <v>81</v>
      </c>
      <c r="AA45" s="4"/>
      <c r="AB45" s="9">
        <f t="shared" si="2"/>
        <v>3.17</v>
      </c>
    </row>
    <row r="46" ht="86.25" customHeight="1">
      <c r="A46" s="3" t="s">
        <v>25</v>
      </c>
      <c r="B46" s="3" t="s">
        <v>33</v>
      </c>
      <c r="C46" s="4" t="str">
        <f>IFERROR(IMAGE("https://www.myswitzerland.com/-/media/st/gadmin/images/destinations/summer/huts/sac_arbenbiwak_2008_227662.jpg",4,92,160),"Photo indisponible")</f>
        <v/>
      </c>
      <c r="D46" s="3" t="s">
        <v>34</v>
      </c>
      <c r="E46" s="5">
        <v>3225.0</v>
      </c>
      <c r="F46" s="3" t="s">
        <v>35</v>
      </c>
      <c r="G46" s="5">
        <v>1620.0</v>
      </c>
      <c r="H46" s="3" t="s">
        <v>379</v>
      </c>
      <c r="I46" s="5">
        <v>1620.0</v>
      </c>
      <c r="J46" s="3" t="s">
        <v>36</v>
      </c>
      <c r="K46" s="5">
        <v>5.8</v>
      </c>
      <c r="L46" s="5">
        <v>1605.0</v>
      </c>
      <c r="M46" s="6">
        <v>3.0</v>
      </c>
      <c r="N46" s="6">
        <v>5.0</v>
      </c>
      <c r="O46" s="6">
        <v>5.0</v>
      </c>
      <c r="P46" s="6">
        <v>5.0</v>
      </c>
      <c r="Q46" s="6">
        <v>5.0</v>
      </c>
      <c r="R46" s="7">
        <f t="shared" si="1"/>
        <v>3</v>
      </c>
      <c r="S46" s="6">
        <v>5.0</v>
      </c>
      <c r="T46" s="3" t="s">
        <v>37</v>
      </c>
      <c r="U46" s="3" t="s">
        <v>38</v>
      </c>
      <c r="V46" s="8" t="str">
        <f>HYPERLINK("https://www.sac-cas.ch/fr/cabanes-et-courses/portail-des-courses-du-cas/arbenbiwak-sac-2147000016/","Site officiel")</f>
        <v>Site officiel</v>
      </c>
      <c r="W46" s="8" t="str">
        <f>HYPERLINK("https://www.google.com/maps/place/Arbenbiwak+SAC/data=!4m2!3m1!1s0x478f315e39ce7ec3:0xffd6ecfefb0746d5","Ouvrir Maps")</f>
        <v>Ouvrir Maps</v>
      </c>
      <c r="X46" s="8" t="str">
        <f>HYPERLINK("https://www.myswitzerland.com/-/media/st/gadmin/images/destinations/summer/huts/sac_arbenbiwak_2008_227662.jpg","Photo HD")</f>
        <v>Photo HD</v>
      </c>
      <c r="Y46" s="8" t="str">
        <f>HYPERLINK("https://www.sac-cas.ch/fr/cabanes-et-courses/portail-des-courses-du-cas/arbenbiwak-sac-2147000016/","Fiche source")</f>
        <v>Fiche source</v>
      </c>
      <c r="Z46" s="3" t="s">
        <v>32</v>
      </c>
      <c r="AA46" s="4"/>
      <c r="AB46" s="9">
        <f t="shared" si="2"/>
        <v>3.17</v>
      </c>
    </row>
    <row r="47" ht="86.25" customHeight="1">
      <c r="A47" s="3" t="s">
        <v>25</v>
      </c>
      <c r="B47" s="3" t="s">
        <v>116</v>
      </c>
      <c r="C47" s="8" t="str">
        <f>HYPERLINK("https://www.google.com/search?tbm=isch&amp;q=Capanna+Punta+Penia+refuge+bivouac+montagne+photo","🔎 Rechercher photo")</f>
        <v>🔎 Rechercher photo</v>
      </c>
      <c r="D47" s="3" t="s">
        <v>117</v>
      </c>
      <c r="E47" s="5">
        <v>3343.0</v>
      </c>
      <c r="F47" s="3" t="s">
        <v>118</v>
      </c>
      <c r="G47" s="5">
        <v>1950.0</v>
      </c>
      <c r="H47" s="3" t="s">
        <v>380</v>
      </c>
      <c r="I47" s="5">
        <v>1510.0</v>
      </c>
      <c r="J47" s="3" t="s">
        <v>119</v>
      </c>
      <c r="K47" s="5">
        <v>5.5</v>
      </c>
      <c r="L47" s="5">
        <v>1393.0</v>
      </c>
      <c r="M47" s="6">
        <v>3.0</v>
      </c>
      <c r="N47" s="6">
        <v>3.0</v>
      </c>
      <c r="O47" s="6">
        <v>3.0</v>
      </c>
      <c r="P47" s="6">
        <v>5.0</v>
      </c>
      <c r="Q47" s="6">
        <v>5.0</v>
      </c>
      <c r="R47" s="7">
        <f t="shared" si="1"/>
        <v>3</v>
      </c>
      <c r="S47" s="6">
        <v>4.0</v>
      </c>
      <c r="T47" s="3" t="s">
        <v>120</v>
      </c>
      <c r="U47" s="3" t="s">
        <v>121</v>
      </c>
      <c r="V47" s="4"/>
      <c r="W47" s="8" t="str">
        <f>HYPERLINK("https://www.google.com/maps/place/Capanna+Punta+Penia/data=!4m2!3m1!1s0x477843e651343129:0x62c147706fd242bd","Ouvrir Maps")</f>
        <v>Ouvrir Maps</v>
      </c>
      <c r="X47" s="8" t="str">
        <f>HYPERLINK("https://www.google.com/search?tbm=isch&amp;q=Capanna+Punta+Penia+refuge+bivouac+montagne+photo","Recherche photos")</f>
        <v>Recherche photos</v>
      </c>
      <c r="Y47" s="4"/>
      <c r="Z47" s="3" t="s">
        <v>50</v>
      </c>
      <c r="AA47" s="3" t="s">
        <v>122</v>
      </c>
      <c r="AB47" s="9">
        <f t="shared" si="2"/>
        <v>3.05</v>
      </c>
    </row>
    <row r="48" ht="86.25" customHeight="1">
      <c r="A48" s="3" t="s">
        <v>25</v>
      </c>
      <c r="B48" s="3" t="s">
        <v>174</v>
      </c>
      <c r="C48" s="8" t="str">
        <f>HYPERLINK("https://www.google.com/search?tbm=isch&amp;q=Rifugio+Monzino+refuge+bivouac+montagne+photo","🔎 Rechercher photo")</f>
        <v>🔎 Rechercher photo</v>
      </c>
      <c r="D48" s="3" t="s">
        <v>175</v>
      </c>
      <c r="E48" s="5">
        <v>2561.0</v>
      </c>
      <c r="F48" s="3" t="s">
        <v>176</v>
      </c>
      <c r="G48" s="5">
        <v>1560.0</v>
      </c>
      <c r="H48" s="3" t="s">
        <v>381</v>
      </c>
      <c r="I48" s="5">
        <v>1550.0</v>
      </c>
      <c r="J48" s="3" t="s">
        <v>132</v>
      </c>
      <c r="K48" s="5">
        <v>3.5</v>
      </c>
      <c r="L48" s="5">
        <v>1001.0</v>
      </c>
      <c r="M48" s="6">
        <v>4.0</v>
      </c>
      <c r="N48" s="6">
        <v>3.0</v>
      </c>
      <c r="O48" s="6">
        <v>2.0</v>
      </c>
      <c r="P48" s="6">
        <v>5.0</v>
      </c>
      <c r="Q48" s="6">
        <v>5.0</v>
      </c>
      <c r="R48" s="7">
        <f t="shared" si="1"/>
        <v>3</v>
      </c>
      <c r="S48" s="6">
        <v>5.0</v>
      </c>
      <c r="T48" s="3" t="s">
        <v>177</v>
      </c>
      <c r="U48" s="3" t="s">
        <v>178</v>
      </c>
      <c r="V48" s="8" t="str">
        <f>HYPERLINK("https://www.rifugiomonzino.com/Accesso.php","Site officiel")</f>
        <v>Site officiel</v>
      </c>
      <c r="W48" s="8" t="str">
        <f>HYPERLINK("https://www.google.com/maps/place/Rifugio+Monzino/data=!4m2!3m1!1s0x4789474238b654f1:0xeb468b36f298494d","Ouvrir Maps")</f>
        <v>Ouvrir Maps</v>
      </c>
      <c r="X48" s="8" t="str">
        <f>HYPERLINK("https://www.google.com/search?tbm=isch&amp;q=Rifugio+Monzino+refuge+bivouac+montagne+photo","Recherche photos")</f>
        <v>Recherche photos</v>
      </c>
      <c r="Y48" s="8" t="str">
        <f>HYPERLINK("https://www.rifugiomonzino.com/Accesso.php","Fiche source")</f>
        <v>Fiche source</v>
      </c>
      <c r="Z48" s="3" t="s">
        <v>32</v>
      </c>
      <c r="AA48" s="4"/>
      <c r="AB48" s="9">
        <f t="shared" si="2"/>
        <v>3.01</v>
      </c>
    </row>
    <row r="49" ht="86.25" customHeight="1">
      <c r="A49" s="3" t="s">
        <v>25</v>
      </c>
      <c r="B49" s="3" t="s">
        <v>382</v>
      </c>
      <c r="C49" s="8" t="str">
        <f>HYPERLINK("https://www.google.com/search?tbm=isch&amp;q=Rifugio+Mario+Bezzi+refuge+bivouac+montagne+photo","🔎 Rechercher photo")</f>
        <v>🔎 Rechercher photo</v>
      </c>
      <c r="D49" s="3" t="s">
        <v>383</v>
      </c>
      <c r="E49" s="5">
        <v>2284.0</v>
      </c>
      <c r="F49" s="3" t="s">
        <v>384</v>
      </c>
      <c r="G49" s="5">
        <v>1780.0</v>
      </c>
      <c r="H49" s="3" t="s">
        <v>385</v>
      </c>
      <c r="I49" s="5">
        <v>1660.0</v>
      </c>
      <c r="J49" s="3" t="s">
        <v>111</v>
      </c>
      <c r="K49" s="5">
        <v>2.0</v>
      </c>
      <c r="L49" s="5">
        <v>504.0</v>
      </c>
      <c r="M49" s="6">
        <v>3.0</v>
      </c>
      <c r="N49" s="6">
        <v>2.0</v>
      </c>
      <c r="O49" s="6">
        <v>1.0</v>
      </c>
      <c r="P49" s="6">
        <v>4.0</v>
      </c>
      <c r="Q49" s="6">
        <v>4.0</v>
      </c>
      <c r="R49" s="7">
        <f t="shared" si="1"/>
        <v>3</v>
      </c>
      <c r="S49" s="6">
        <v>2.0</v>
      </c>
      <c r="T49" s="3" t="s">
        <v>386</v>
      </c>
      <c r="U49" s="3" t="s">
        <v>387</v>
      </c>
      <c r="V49" s="4"/>
      <c r="W49" s="8" t="str">
        <f>HYPERLINK("https://www.google.com/maps/place/Rifugio+Mario+Bezzi/data=!4m2!3m1!1s0x478916ea65ef8c09:0xdcaef95bbe5bae15","Ouvrir Maps")</f>
        <v>Ouvrir Maps</v>
      </c>
      <c r="X49" s="8" t="str">
        <f>HYPERLINK("https://www.google.com/search?tbm=isch&amp;q=Rifugio+Mario+Bezzi+refuge+bivouac+montagne+photo","Recherche photos")</f>
        <v>Recherche photos</v>
      </c>
      <c r="Y49" s="4"/>
      <c r="Z49" s="3" t="s">
        <v>50</v>
      </c>
      <c r="AA49" s="3" t="s">
        <v>63</v>
      </c>
      <c r="AB49" s="9">
        <f t="shared" si="2"/>
        <v>2.94</v>
      </c>
    </row>
    <row r="50" ht="86.25" customHeight="1">
      <c r="A50" s="3" t="s">
        <v>25</v>
      </c>
      <c r="B50" s="3" t="s">
        <v>144</v>
      </c>
      <c r="C50" s="4" t="str">
        <f>IFERROR(IMAGE("https://media.myswitzerland.com/image/fetch/c_lfill%2Cg_auto%2Cw_3200%2Ch_1800/f_auto%2Cq_80%2Cfl_keep_iptc/https%3A/www.myswitzerland.com/-/media/st/gadmin/images/destinations/summer/huts/sac_bertol_2009_226886.jpg",4,92,160),"Photo indisponible")</f>
        <v/>
      </c>
      <c r="D50" s="3" t="s">
        <v>145</v>
      </c>
      <c r="E50" s="5">
        <v>3311.0</v>
      </c>
      <c r="F50" s="3" t="s">
        <v>146</v>
      </c>
      <c r="G50" s="5">
        <v>1968.0</v>
      </c>
      <c r="H50" s="3" t="s">
        <v>146</v>
      </c>
      <c r="I50" s="5">
        <v>1968.0</v>
      </c>
      <c r="J50" s="3" t="s">
        <v>29</v>
      </c>
      <c r="K50" s="5">
        <v>4.3</v>
      </c>
      <c r="L50" s="5">
        <v>1343.0</v>
      </c>
      <c r="M50" s="6">
        <v>3.0</v>
      </c>
      <c r="N50" s="6">
        <v>4.0</v>
      </c>
      <c r="O50" s="6">
        <v>3.0</v>
      </c>
      <c r="P50" s="6">
        <v>5.0</v>
      </c>
      <c r="Q50" s="6">
        <v>5.0</v>
      </c>
      <c r="R50" s="7">
        <f t="shared" si="1"/>
        <v>3</v>
      </c>
      <c r="S50" s="6">
        <v>5.0</v>
      </c>
      <c r="T50" s="3" t="s">
        <v>147</v>
      </c>
      <c r="U50" s="3" t="s">
        <v>148</v>
      </c>
      <c r="V50" s="8" t="str">
        <f>HYPERLINK("https://www.sac-cas.ch/fr/cabanes-et-courses/portail-des-courses-du-cas/cabane-de-bertol-cas-2147000031/","Site officiel")</f>
        <v>Site officiel</v>
      </c>
      <c r="W50" s="8" t="str">
        <f>HYPERLINK("https://www.google.com/maps/place/Bertol+Hut/data=!4m2!3m1!1s0x478f2c5a4cdb8d19:0x5f35e0415c90d466","Ouvrir Maps")</f>
        <v>Ouvrir Maps</v>
      </c>
      <c r="X50" s="8" t="str">
        <f>HYPERLINK("https://media.myswitzerland.com/image/fetch/c_lfill%2Cg_auto%2Cw_3200%2Ch_1800/f_auto%2Cq_80%2Cfl_keep_iptc/https%3A/www.myswitzerland.com/-/media/st/gadmin/images/destinations/summer/huts/sac_bertol_2009_226886.jpg","Photo HD")</f>
        <v>Photo HD</v>
      </c>
      <c r="Y50" s="10" t="s">
        <v>149</v>
      </c>
      <c r="Z50" s="3" t="s">
        <v>81</v>
      </c>
      <c r="AA50" s="3" t="s">
        <v>115</v>
      </c>
      <c r="AB50" s="9">
        <f t="shared" si="2"/>
        <v>2.86</v>
      </c>
    </row>
    <row r="51" ht="86.25" customHeight="1">
      <c r="A51" s="3" t="s">
        <v>25</v>
      </c>
      <c r="B51" s="3" t="s">
        <v>108</v>
      </c>
      <c r="C51" s="4" t="str">
        <f>IFERROR(IMAGE("https://www.alpinewelten.com/cdn/uploads/refuge-des-grands-moulets-aussen.jpg",4,92,160),"Photo indisponible")</f>
        <v/>
      </c>
      <c r="D51" s="3" t="s">
        <v>109</v>
      </c>
      <c r="E51" s="5">
        <v>3051.0</v>
      </c>
      <c r="F51" s="3" t="s">
        <v>110</v>
      </c>
      <c r="G51" s="5">
        <v>2310.0</v>
      </c>
      <c r="H51" s="3" t="s">
        <v>388</v>
      </c>
      <c r="I51" s="5">
        <v>2310.0</v>
      </c>
      <c r="J51" s="3" t="s">
        <v>111</v>
      </c>
      <c r="K51" s="5">
        <v>4.5</v>
      </c>
      <c r="L51" s="5">
        <v>741.0</v>
      </c>
      <c r="M51" s="6">
        <v>3.0</v>
      </c>
      <c r="N51" s="6">
        <v>3.0</v>
      </c>
      <c r="O51" s="6">
        <v>3.0</v>
      </c>
      <c r="P51" s="6">
        <v>5.0</v>
      </c>
      <c r="Q51" s="6">
        <v>5.0</v>
      </c>
      <c r="R51" s="7">
        <f t="shared" si="1"/>
        <v>3</v>
      </c>
      <c r="S51" s="6">
        <v>5.0</v>
      </c>
      <c r="T51" s="3" t="s">
        <v>112</v>
      </c>
      <c r="U51" s="3" t="s">
        <v>113</v>
      </c>
      <c r="V51" s="4"/>
      <c r="W51" s="8" t="str">
        <f>HYPERLINK("https://www.google.com/maps/place/Refuge+des+Grands+Mulets/data=!4m2!3m1!1s0x47894f99cf5337cb:0xf13ad183daf3c8ba","Ouvrir Maps")</f>
        <v>Ouvrir Maps</v>
      </c>
      <c r="X51" s="8" t="str">
        <f>HYPERLINK("https://www.alpinewelten.com/cdn/uploads/refuge-des-grands-moulets-aussen.jpg","Photo HD")</f>
        <v>Photo HD</v>
      </c>
      <c r="Y51" s="10" t="s">
        <v>114</v>
      </c>
      <c r="Z51" s="3" t="s">
        <v>81</v>
      </c>
      <c r="AA51" s="3" t="s">
        <v>115</v>
      </c>
      <c r="AB51" s="9">
        <f t="shared" si="2"/>
        <v>2.8</v>
      </c>
    </row>
    <row r="52" ht="86.25" customHeight="1">
      <c r="A52" s="3" t="s">
        <v>25</v>
      </c>
      <c r="B52" s="3" t="s">
        <v>389</v>
      </c>
      <c r="C52" s="8" t="str">
        <f>HYPERLINK("https://www.google.com/search?tbm=isch&amp;q=Rifugio+Fauniera+refuge+bivouac+montagne+photo","🔎 Rechercher photo")</f>
        <v>🔎 Rechercher photo</v>
      </c>
      <c r="D52" s="3" t="s">
        <v>390</v>
      </c>
      <c r="E52" s="5">
        <v>2305.0</v>
      </c>
      <c r="F52" s="3" t="s">
        <v>391</v>
      </c>
      <c r="G52" s="5">
        <v>2305.0</v>
      </c>
      <c r="H52" s="3" t="s">
        <v>392</v>
      </c>
      <c r="I52" s="5">
        <v>1720.0</v>
      </c>
      <c r="J52" s="3" t="s">
        <v>393</v>
      </c>
      <c r="K52" s="5">
        <v>0.5</v>
      </c>
      <c r="L52" s="5">
        <v>0.0</v>
      </c>
      <c r="M52" s="6">
        <v>2.0</v>
      </c>
      <c r="N52" s="6">
        <v>1.0</v>
      </c>
      <c r="O52" s="6">
        <v>1.0</v>
      </c>
      <c r="P52" s="6">
        <v>3.0</v>
      </c>
      <c r="Q52" s="6">
        <v>4.0</v>
      </c>
      <c r="R52" s="7">
        <f t="shared" si="1"/>
        <v>2</v>
      </c>
      <c r="S52" s="6">
        <v>2.0</v>
      </c>
      <c r="T52" s="3" t="s">
        <v>394</v>
      </c>
      <c r="U52" s="3" t="s">
        <v>395</v>
      </c>
      <c r="V52" s="4"/>
      <c r="W52" s="8" t="str">
        <f>HYPERLINK("https://www.google.com/maps/place/Rifugio+Fauniera/data=!4m2!3m1!1s0x12cd1d7b48427e09:0x5377d170a813c5e2","Ouvrir Maps")</f>
        <v>Ouvrir Maps</v>
      </c>
      <c r="X52" s="8" t="str">
        <f>HYPERLINK("https://www.google.com/search?tbm=isch&amp;q=Rifugio+Fauniera+refuge+bivouac+montagne+photo","Recherche photos")</f>
        <v>Recherche photos</v>
      </c>
      <c r="Y52" s="10" t="s">
        <v>396</v>
      </c>
      <c r="Z52" s="3" t="s">
        <v>81</v>
      </c>
      <c r="AA52" s="3" t="s">
        <v>63</v>
      </c>
      <c r="AB52" s="9">
        <f t="shared" si="2"/>
        <v>2.46</v>
      </c>
    </row>
    <row r="53" ht="86.25" customHeight="1">
      <c r="A53" s="3" t="s">
        <v>25</v>
      </c>
      <c r="B53" s="3" t="s">
        <v>251</v>
      </c>
      <c r="C53" s="4" t="str">
        <f>IFERROR(IMAGE("https://static.wixstatic.com/media/58dded_94f92c519d114defa60ddf8ebc5cefe3~mv2.jpg/v1/fill/w_800%2Ch_451%2Cal_c%2Cq_85/58dded_94f92c519d114defa60ddf8ebc5cefe3~mv2.jpg",4,92,160),"Photo indisponible")</f>
        <v/>
      </c>
      <c r="D53" s="3" t="s">
        <v>252</v>
      </c>
      <c r="E53" s="5">
        <v>2439.0</v>
      </c>
      <c r="F53" s="3" t="s">
        <v>253</v>
      </c>
      <c r="G53" s="5">
        <v>1235.0</v>
      </c>
      <c r="H53" s="3" t="s">
        <v>397</v>
      </c>
      <c r="I53" s="5">
        <v>950.0</v>
      </c>
      <c r="J53" s="3" t="s">
        <v>254</v>
      </c>
      <c r="K53" s="5">
        <v>0.0</v>
      </c>
      <c r="L53" s="5">
        <v>1204.0</v>
      </c>
      <c r="M53" s="6">
        <v>5.0</v>
      </c>
      <c r="N53" s="6">
        <v>0.0</v>
      </c>
      <c r="O53" s="6">
        <v>1.0</v>
      </c>
      <c r="P53" s="6">
        <v>0.0</v>
      </c>
      <c r="Q53" s="6">
        <v>0.0</v>
      </c>
      <c r="R53" s="7">
        <f t="shared" si="1"/>
        <v>2</v>
      </c>
      <c r="S53" s="6">
        <v>4.0</v>
      </c>
      <c r="T53" s="3" t="s">
        <v>255</v>
      </c>
      <c r="U53" s="3" t="s">
        <v>256</v>
      </c>
      <c r="V53" s="4"/>
      <c r="W53" s="8" t="str">
        <f>HYPERLINK("https://www.google.com/maps/place/Punta+Rama/data=!4m2!3m1!1s0x47888d10e304f85f:0x24d18f449a5ec3ca","Ouvrir Maps")</f>
        <v>Ouvrir Maps</v>
      </c>
      <c r="X53" s="8" t="str">
        <f>HYPERLINK("https://www.google.com/search?tbm=isch&amp;q=Punta+Rama+refuge+bivouac+montagne+photo","Recherche photos")</f>
        <v>Recherche photos</v>
      </c>
      <c r="Y53" s="10" t="s">
        <v>257</v>
      </c>
      <c r="Z53" s="3" t="s">
        <v>81</v>
      </c>
      <c r="AA53" s="3" t="s">
        <v>258</v>
      </c>
      <c r="AB53" s="9">
        <f t="shared" si="2"/>
        <v>1.99</v>
      </c>
    </row>
    <row r="54" ht="86.25" customHeight="1">
      <c r="A54" s="3" t="s">
        <v>25</v>
      </c>
      <c r="B54" s="3" t="s">
        <v>398</v>
      </c>
      <c r="C54" s="8" t="str">
        <f>HYPERLINK("https://www.google.com/search?tbm=isch&amp;q=Grivola+refuge+bivouac+montagne+photo","🔎 Rechercher photo")</f>
        <v>🔎 Rechercher photo</v>
      </c>
      <c r="D54" s="3" t="s">
        <v>399</v>
      </c>
      <c r="E54" s="5">
        <v>3320.0</v>
      </c>
      <c r="F54" s="3" t="s">
        <v>400</v>
      </c>
      <c r="G54" s="5">
        <v>1658.0</v>
      </c>
      <c r="H54" s="3" t="s">
        <v>400</v>
      </c>
      <c r="I54" s="5">
        <v>1658.0</v>
      </c>
      <c r="J54" s="3" t="s">
        <v>254</v>
      </c>
      <c r="K54" s="5">
        <v>0.0</v>
      </c>
      <c r="L54" s="5">
        <v>1662.0</v>
      </c>
      <c r="M54" s="6">
        <v>3.0</v>
      </c>
      <c r="N54" s="6">
        <v>0.0</v>
      </c>
      <c r="O54" s="6">
        <v>1.0</v>
      </c>
      <c r="P54" s="6">
        <v>0.0</v>
      </c>
      <c r="Q54" s="6">
        <v>0.0</v>
      </c>
      <c r="R54" s="7">
        <f t="shared" si="1"/>
        <v>1</v>
      </c>
      <c r="S54" s="6">
        <v>5.0</v>
      </c>
      <c r="T54" s="3" t="s">
        <v>401</v>
      </c>
      <c r="U54" s="3" t="s">
        <v>402</v>
      </c>
      <c r="V54" s="4"/>
      <c r="W54" s="8" t="str">
        <f>HYPERLINK("https://www.google.com/maps/place/Grivola/data=!4m2!3m1!1s0x47891dd7e5bb9c1f:0x3d11118f13752464","Ouvrir Maps")</f>
        <v>Ouvrir Maps</v>
      </c>
      <c r="X54" s="8" t="str">
        <f>HYPERLINK("https://www.google.com/search?tbm=isch&amp;q=Grivola+refuge+bivouac+montagne+photo","Recherche photos")</f>
        <v>Recherche photos</v>
      </c>
      <c r="Y54" s="10" t="s">
        <v>403</v>
      </c>
      <c r="Z54" s="3" t="s">
        <v>81</v>
      </c>
      <c r="AA54" s="4"/>
      <c r="AB54" s="9">
        <f t="shared" si="2"/>
        <v>0.94</v>
      </c>
    </row>
    <row r="55" ht="22.5" customHeight="1">
      <c r="A55" s="3" t="s">
        <v>25</v>
      </c>
      <c r="B55" s="3" t="s">
        <v>404</v>
      </c>
      <c r="C55" s="4" t="str">
        <f>IFERROR(IMAGE("https://www.fred-38.fr/medias/images/bric-de-rubren-photo.jpg",4,92,160),"Photo indisponible")</f>
        <v/>
      </c>
      <c r="D55" s="3" t="s">
        <v>405</v>
      </c>
      <c r="E55" s="5">
        <v>3089.0</v>
      </c>
      <c r="F55" s="3" t="s">
        <v>406</v>
      </c>
      <c r="G55" s="5">
        <v>1852.0</v>
      </c>
      <c r="H55" s="3" t="s">
        <v>407</v>
      </c>
      <c r="I55" s="5">
        <v>1852.0</v>
      </c>
      <c r="J55" s="3" t="s">
        <v>60</v>
      </c>
      <c r="K55" s="5">
        <v>4.0</v>
      </c>
      <c r="L55" s="5">
        <v>1260.0</v>
      </c>
      <c r="M55" s="6">
        <v>5.0</v>
      </c>
      <c r="N55" s="6">
        <v>4.0</v>
      </c>
      <c r="O55" s="6">
        <v>4.0</v>
      </c>
      <c r="P55" s="6">
        <v>5.0</v>
      </c>
      <c r="Q55" s="6">
        <v>5.0</v>
      </c>
      <c r="R55" s="7">
        <f t="shared" si="1"/>
        <v>4</v>
      </c>
      <c r="S55" s="6">
        <v>4.0</v>
      </c>
      <c r="T55" s="3" t="s">
        <v>408</v>
      </c>
      <c r="U55" s="3" t="s">
        <v>409</v>
      </c>
      <c r="V55" s="8" t="str">
        <f>HYPERLINK("https://www.alpicuneesi.it/itinerari/vallevaraita/1502.htm","Topo + GPX")</f>
        <v>Topo + GPX</v>
      </c>
      <c r="W55" s="8" t="str">
        <f>HYPERLINK("https://www.google.com/maps/search/?api=1&amp;query=44.61497%2C6.95069","Ouvrir Maps")</f>
        <v>Ouvrir Maps</v>
      </c>
      <c r="X55" s="8" t="str">
        <f>HYPERLINK("https://www.fred-38.fr/medias/images/bric-de-rubren-photo.jpg","Photo HD")</f>
        <v>Photo HD</v>
      </c>
      <c r="Y55" s="10" t="s">
        <v>410</v>
      </c>
      <c r="Z55" s="3" t="s">
        <v>411</v>
      </c>
      <c r="AA55" s="3" t="s">
        <v>412</v>
      </c>
      <c r="AB55" s="9">
        <f t="shared" si="2"/>
        <v>4.11</v>
      </c>
    </row>
    <row r="56" ht="22.5" customHeight="1">
      <c r="A56" s="3" t="s">
        <v>25</v>
      </c>
      <c r="B56" s="3" t="s">
        <v>413</v>
      </c>
      <c r="C56" s="8" t="str">
        <f>HYPERLINK("https://www.google.com/search?tbm=isch&amp;q=Bivacco+Luciano+Gratton+Colle+Pousset","🔎 Rechercher photo")</f>
        <v>🔎 Rechercher photo</v>
      </c>
      <c r="D56" s="3" t="s">
        <v>414</v>
      </c>
      <c r="E56" s="5">
        <v>3198.0</v>
      </c>
      <c r="F56" s="3" t="s">
        <v>415</v>
      </c>
      <c r="G56" s="5">
        <v>1535.0</v>
      </c>
      <c r="H56" s="3" t="s">
        <v>416</v>
      </c>
      <c r="I56" s="5">
        <v>1535.0</v>
      </c>
      <c r="J56" s="3" t="s">
        <v>47</v>
      </c>
      <c r="K56" s="5">
        <v>5.2</v>
      </c>
      <c r="L56" s="5">
        <v>1688.0</v>
      </c>
      <c r="M56" s="6">
        <v>5.0</v>
      </c>
      <c r="N56" s="6">
        <v>5.0</v>
      </c>
      <c r="O56" s="6">
        <v>5.0</v>
      </c>
      <c r="P56" s="6">
        <v>5.0</v>
      </c>
      <c r="Q56" s="6">
        <v>5.0</v>
      </c>
      <c r="R56" s="7">
        <f t="shared" si="1"/>
        <v>4</v>
      </c>
      <c r="S56" s="6">
        <v>5.0</v>
      </c>
      <c r="T56" s="3" t="s">
        <v>417</v>
      </c>
      <c r="U56" s="3" t="s">
        <v>418</v>
      </c>
      <c r="V56" s="8" t="str">
        <f>HYPERLINK("https://www.lovevda.it/fr/base-de-donnees/7/bivouacs/cogne/bivouac-luciano-gratton/2488","Site officiel")</f>
        <v>Site officiel</v>
      </c>
      <c r="W56" s="8" t="str">
        <f>HYPERLINK("https://www.google.com/maps/search/?api=1&amp;query=Bivacco+Luciano+Gratton+Cogne","Ouvrir Maps")</f>
        <v>Ouvrir Maps</v>
      </c>
      <c r="X56" s="8" t="str">
        <f>HYPERLINK("https://www.google.com/search?tbm=isch&amp;q=Bivacco+Luciano+Gratton+Colle+Pousset","Recherche photos")</f>
        <v>Recherche photos</v>
      </c>
      <c r="Y56" s="10" t="s">
        <v>419</v>
      </c>
      <c r="Z56" s="3" t="s">
        <v>420</v>
      </c>
      <c r="AA56" s="3" t="s">
        <v>421</v>
      </c>
      <c r="AB56" s="9">
        <f t="shared" si="2"/>
        <v>3.83</v>
      </c>
    </row>
  </sheetData>
  <conditionalFormatting sqref="R2:R56">
    <cfRule type="colorScale" priority="1">
      <colorScale>
        <cfvo type="formula" val="1"/>
        <cfvo type="formula" val="3"/>
        <cfvo type="formula" val="5"/>
        <color rgb="FFFFE0D3"/>
        <color rgb="FFFFF7D3"/>
        <color rgb="FFCCEAD1"/>
      </colorScale>
    </cfRule>
  </conditionalFormatting>
  <dataValidations>
    <dataValidation type="list" allowBlank="1" showErrorMessage="1" sqref="M2:S56">
      <formula1>"0,1,2,3,4,5"</formula1>
    </dataValidation>
    <dataValidation type="custom" allowBlank="1" showDropDown="1" sqref="E2:E56 G2:G56 I2:I56 K2:L56">
      <formula1>AND(ISNUMBER(E2),(NOT(OR(NOT(ISERROR(DATEVALUE(E2))), AND(ISNUMBER(E2), LEFT(CELL("format", E2))="D")))))</formula1>
    </dataValidation>
    <dataValidation allowBlank="1" showDropDown="1" sqref="A2:D56 F2:F56 H2:H56 J2:J56 T2:AA56"/>
  </dataValidations>
  <hyperlinks>
    <hyperlink r:id="rId2" ref="Y2"/>
    <hyperlink r:id="rId3" ref="Y4"/>
    <hyperlink r:id="rId4" ref="Y5"/>
    <hyperlink r:id="rId5" ref="Y8"/>
    <hyperlink r:id="rId6" ref="Y9"/>
    <hyperlink r:id="rId7" ref="Y16"/>
    <hyperlink r:id="rId8" ref="Y20"/>
    <hyperlink r:id="rId9" ref="Y26"/>
    <hyperlink r:id="rId10" ref="Y27"/>
    <hyperlink r:id="rId11" ref="Y28"/>
    <hyperlink r:id="rId12" ref="Y32"/>
    <hyperlink r:id="rId13" ref="Y36"/>
    <hyperlink r:id="rId14" ref="Y43"/>
    <hyperlink r:id="rId15" ref="Y45"/>
    <hyperlink r:id="rId16" ref="Y50"/>
    <hyperlink r:id="rId17" ref="Y51"/>
    <hyperlink r:id="rId18" ref="Y52"/>
    <hyperlink r:id="rId19" ref="Y53"/>
    <hyperlink r:id="rId20" ref="Y54"/>
    <hyperlink r:id="rId21" ref="Y55"/>
    <hyperlink r:id="rId22" ref="Y56"/>
  </hyperlinks>
  <drawing r:id="rId23"/>
  <legacyDrawing r:id="rId24"/>
  <tableParts count="1">
    <tablePart r:id="rId2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2.0"/>
    <col customWidth="1" min="2" max="2" width="33.88"/>
    <col customWidth="1" min="3" max="3" width="22.38"/>
    <col customWidth="1" min="4" max="4" width="26.38"/>
    <col customWidth="1" min="5" max="5" width="14.63"/>
    <col customWidth="1" min="6" max="6" width="40.75"/>
    <col customWidth="1" min="7" max="7" width="20.5"/>
    <col customWidth="1" min="8" max="8" width="15.13"/>
    <col customWidth="1" min="9" max="9" width="14.88"/>
    <col customWidth="1" min="10" max="10" width="15.25"/>
    <col customWidth="1" min="11" max="11" width="18.13"/>
    <col customWidth="1" min="12" max="12" width="18.38"/>
    <col customWidth="1" min="13" max="13" width="22.13"/>
    <col customWidth="1" min="14" max="14" width="18.5"/>
    <col customWidth="1" min="15" max="15" width="15.13"/>
    <col customWidth="1" min="16" max="16" width="19.13"/>
    <col customWidth="1" min="17" max="17" width="18.88"/>
    <col customWidth="1" min="18" max="18" width="18.75"/>
    <col customWidth="1" min="19" max="19" width="27.63"/>
    <col customWidth="1" min="20" max="20" width="37.63"/>
    <col customWidth="1" min="21" max="21" width="20.0"/>
    <col customWidth="1" min="22" max="22" width="18.75"/>
    <col customWidth="1" min="23" max="23" width="20.88"/>
    <col customWidth="1" min="24" max="24" width="34.5"/>
    <col customWidth="1" min="25" max="25" width="30.13"/>
    <col customWidth="1" min="26" max="26" width="24.88"/>
    <col customWidth="1" min="27" max="27" width="45.75"/>
    <col customWidth="1" hidden="1" min="28" max="28" width="45.75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259</v>
      </c>
      <c r="G1" s="1" t="s">
        <v>260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261</v>
      </c>
      <c r="R1" s="1" t="s">
        <v>422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423</v>
      </c>
      <c r="Z1" s="1" t="s">
        <v>22</v>
      </c>
      <c r="AA1" s="1" t="s">
        <v>23</v>
      </c>
      <c r="AB1" s="11" t="s">
        <v>24</v>
      </c>
    </row>
    <row r="2" ht="86.25" customHeight="1">
      <c r="A2" s="3" t="s">
        <v>25</v>
      </c>
      <c r="B2" s="3" t="s">
        <v>57</v>
      </c>
      <c r="C2" s="4" t="str">
        <f>IFERROR(IMAGE("https://refuge.camp/_next/image?q=75&amp;url=https%3A%2F%2Fpub-48d6aa73c6444bd586149908aa4f3b05.r2.dev%2Fbivouac_matteo_corradini_thumbnail_1_1b36410b13.jpeg&amp;w=3840",4,92,160),"Photo indisponible")</f>
        <v/>
      </c>
      <c r="D2" s="3" t="s">
        <v>58</v>
      </c>
      <c r="E2" s="5">
        <v>2847.0</v>
      </c>
      <c r="F2" s="3" t="s">
        <v>263</v>
      </c>
      <c r="G2" s="5">
        <v>1665.0</v>
      </c>
      <c r="H2" s="3" t="s">
        <v>60</v>
      </c>
      <c r="I2" s="5">
        <v>4.0</v>
      </c>
      <c r="J2" s="5">
        <v>1182.0</v>
      </c>
      <c r="K2" s="6">
        <v>5.0</v>
      </c>
      <c r="L2" s="6">
        <v>5.0</v>
      </c>
      <c r="M2" s="6">
        <v>4.0</v>
      </c>
      <c r="N2" s="6">
        <v>5.0</v>
      </c>
      <c r="O2" s="6">
        <v>5.0</v>
      </c>
      <c r="P2" s="7">
        <f t="shared" ref="P2:P19" si="1">ROUND(AB2,0)</f>
        <v>5</v>
      </c>
      <c r="Q2" s="6">
        <v>3.0</v>
      </c>
      <c r="R2" s="3" t="s">
        <v>424</v>
      </c>
      <c r="S2" s="3" t="s">
        <v>61</v>
      </c>
      <c r="T2" s="3" t="s">
        <v>62</v>
      </c>
      <c r="U2" s="4"/>
      <c r="V2" s="8" t="str">
        <f>HYPERLINK("https://www.google.com/maps/place/Bivacco+Corradini/data=!4m2!3m1!1s0x4789dfb8dc658bdd:0x6556901336c29628","Ouvrir Maps")</f>
        <v>Ouvrir Maps</v>
      </c>
      <c r="W2" s="8" t="str">
        <f>HYPERLINK("https://refuge.camp/_next/image?q=75&amp;url=https%3A%2F%2Fpub-48d6aa73c6444bd586149908aa4f3b05.r2.dev%2Fbivouac_matteo_corradini_thumbnail_1_1b36410b13.jpeg&amp;w=3840","Photo HD")</f>
        <v>Photo HD</v>
      </c>
      <c r="X2" s="4"/>
      <c r="Y2" s="4"/>
      <c r="Z2" s="3" t="s">
        <v>50</v>
      </c>
      <c r="AA2" s="3" t="s">
        <v>63</v>
      </c>
      <c r="AB2" s="12">
        <f t="shared" ref="AB2:AB19" si="2">MAX(0,MIN(5,ROUND(0.32*K2+0.12*L2+0.13*M2+0.16*N2+0.14*O2+0.13*MAX(0,5-IFERROR(TIMEVALUE(SUBSTITUTE(H2,"h",":"))*24,0)*0.35-I2*0.2-J2/4000)-IF(Q2&gt;=5,0.75,IF(Q2&gt;=4,0.35,0)),2)))</f>
        <v>4.58</v>
      </c>
    </row>
    <row r="3" ht="86.25" customHeight="1">
      <c r="A3" s="3" t="s">
        <v>25</v>
      </c>
      <c r="B3" s="3" t="s">
        <v>83</v>
      </c>
      <c r="C3" s="4" t="str">
        <f>IFERROR(IMAGE("https://www.gedistatic.it/content/gnn/img/lastampa/2020/09/13/014654241-b07c9869-7be5-4a7b-b8ac-961a4beb3a07.jpg",4,92,160),"Photo indisponible")</f>
        <v/>
      </c>
      <c r="D3" s="3" t="s">
        <v>84</v>
      </c>
      <c r="E3" s="5">
        <v>2840.0</v>
      </c>
      <c r="F3" s="3" t="s">
        <v>262</v>
      </c>
      <c r="G3" s="5">
        <v>1400.0</v>
      </c>
      <c r="H3" s="3" t="s">
        <v>86</v>
      </c>
      <c r="I3" s="5">
        <v>4.2</v>
      </c>
      <c r="J3" s="5">
        <v>1440.0</v>
      </c>
      <c r="K3" s="6">
        <v>5.0</v>
      </c>
      <c r="L3" s="6">
        <v>5.0</v>
      </c>
      <c r="M3" s="6">
        <v>5.0</v>
      </c>
      <c r="N3" s="6">
        <v>4.0</v>
      </c>
      <c r="O3" s="6">
        <v>5.0</v>
      </c>
      <c r="P3" s="7">
        <f t="shared" si="1"/>
        <v>5</v>
      </c>
      <c r="Q3" s="6">
        <v>3.0</v>
      </c>
      <c r="R3" s="3" t="s">
        <v>424</v>
      </c>
      <c r="S3" s="3" t="s">
        <v>87</v>
      </c>
      <c r="T3" s="3" t="s">
        <v>88</v>
      </c>
      <c r="U3" s="4"/>
      <c r="V3" s="8" t="str">
        <f>HYPERLINK("https://www.google.com/maps/place/Rifugio+Carmagnola+(Bivacco)/data=!4m2!3m1!1s0x12ccdd4ceb27d077:0xd10d57a15b0888bf","Ouvrir Maps")</f>
        <v>Ouvrir Maps</v>
      </c>
      <c r="W3" s="8" t="str">
        <f>HYPERLINK("https://www.google.com/search?tbm=isch&amp;q=Rifugio+Carmagnola+%28Bivacco%29+refuge+bivouac+montagne+photo","Recherche photos")</f>
        <v>Recherche photos</v>
      </c>
      <c r="X3" s="10" t="s">
        <v>89</v>
      </c>
      <c r="Y3" s="4"/>
      <c r="Z3" s="3" t="s">
        <v>81</v>
      </c>
      <c r="AA3" s="3" t="s">
        <v>90</v>
      </c>
      <c r="AB3" s="12">
        <f t="shared" si="2"/>
        <v>4.55</v>
      </c>
    </row>
    <row r="4" ht="86.25" customHeight="1">
      <c r="A4" s="3" t="s">
        <v>25</v>
      </c>
      <c r="B4" s="3" t="s">
        <v>284</v>
      </c>
      <c r="C4" s="4" t="str">
        <f>IFERROR(IMAGE("https://www.parks.it/imgnews.php?f=1&amp;idn=10528",4,92,160),"Photo indisponible")</f>
        <v/>
      </c>
      <c r="D4" s="3" t="s">
        <v>285</v>
      </c>
      <c r="E4" s="5">
        <v>2235.0</v>
      </c>
      <c r="F4" s="3" t="s">
        <v>287</v>
      </c>
      <c r="G4" s="5">
        <v>980.0</v>
      </c>
      <c r="H4" s="3" t="s">
        <v>288</v>
      </c>
      <c r="I4" s="5">
        <v>3.6</v>
      </c>
      <c r="J4" s="5">
        <v>1255.0</v>
      </c>
      <c r="K4" s="6">
        <v>4.0</v>
      </c>
      <c r="L4" s="6">
        <v>4.0</v>
      </c>
      <c r="M4" s="6">
        <v>4.0</v>
      </c>
      <c r="N4" s="6">
        <v>4.0</v>
      </c>
      <c r="O4" s="6">
        <v>5.0</v>
      </c>
      <c r="P4" s="7">
        <f t="shared" si="1"/>
        <v>4</v>
      </c>
      <c r="Q4" s="6">
        <v>2.0</v>
      </c>
      <c r="R4" s="3" t="s">
        <v>424</v>
      </c>
      <c r="S4" s="3" t="s">
        <v>289</v>
      </c>
      <c r="T4" s="3" t="s">
        <v>290</v>
      </c>
      <c r="U4" s="4"/>
      <c r="V4" s="8" t="str">
        <f>HYPERLINK("https://www.google.com/maps/place/Bivacco+Varrone/data=!4m2!3m1!1s0x12cd0845a1eb5bef:0x3f64554eebe35696","Ouvrir Maps")</f>
        <v>Ouvrir Maps</v>
      </c>
      <c r="W4" s="8" t="str">
        <f>HYPERLINK("https://www.google.com/search?tbm=isch&amp;q=Bivacco+Varrone+refuge+bivouac+montagne+photo","Recherche photos")</f>
        <v>Recherche photos</v>
      </c>
      <c r="X4" s="4"/>
      <c r="Y4" s="4"/>
      <c r="Z4" s="3" t="s">
        <v>50</v>
      </c>
      <c r="AA4" s="3" t="s">
        <v>291</v>
      </c>
      <c r="AB4" s="12">
        <f t="shared" si="2"/>
        <v>4.03</v>
      </c>
    </row>
    <row r="5" ht="86.25" customHeight="1">
      <c r="A5" s="3" t="s">
        <v>25</v>
      </c>
      <c r="B5" s="3" t="s">
        <v>201</v>
      </c>
      <c r="C5" s="4" t="str">
        <f>IFERROR(IMAGE("https://cdn.prod.rexby.com/image/6d46892854d1422291b303faa3669de5",4,92,160),"Photo indisponible")</f>
        <v/>
      </c>
      <c r="D5" s="3" t="s">
        <v>202</v>
      </c>
      <c r="E5" s="5">
        <v>2670.0</v>
      </c>
      <c r="F5" s="3" t="s">
        <v>203</v>
      </c>
      <c r="G5" s="5">
        <v>1600.0</v>
      </c>
      <c r="H5" s="3" t="s">
        <v>204</v>
      </c>
      <c r="I5" s="5">
        <v>3.5</v>
      </c>
      <c r="J5" s="5">
        <v>1070.0</v>
      </c>
      <c r="K5" s="6">
        <v>4.0</v>
      </c>
      <c r="L5" s="6">
        <v>4.0</v>
      </c>
      <c r="M5" s="6">
        <v>4.0</v>
      </c>
      <c r="N5" s="6">
        <v>4.0</v>
      </c>
      <c r="O5" s="6">
        <v>5.0</v>
      </c>
      <c r="P5" s="7">
        <f t="shared" si="1"/>
        <v>4</v>
      </c>
      <c r="Q5" s="6">
        <v>3.0</v>
      </c>
      <c r="R5" s="3" t="s">
        <v>424</v>
      </c>
      <c r="S5" s="3" t="s">
        <v>205</v>
      </c>
      <c r="T5" s="3" t="s">
        <v>206</v>
      </c>
      <c r="U5" s="4"/>
      <c r="V5" s="8" t="str">
        <f>HYPERLINK("https://www.google.com/maps/place/Bivouac+du+Dolent+CAS/data=!4m2!3m1!1s0x478934330ced8179:0x240c8ddefb767b9c","Ouvrir Maps")</f>
        <v>Ouvrir Maps</v>
      </c>
      <c r="W5" s="8" t="str">
        <f>HYPERLINK("https://cdn.prod.rexby.com/image/6d46892854d1422291b303faa3669de5","Photo HD")</f>
        <v>Photo HD</v>
      </c>
      <c r="X5" s="4"/>
      <c r="Y5" s="4"/>
      <c r="Z5" s="3" t="s">
        <v>32</v>
      </c>
      <c r="AA5" s="3" t="s">
        <v>63</v>
      </c>
      <c r="AB5" s="12">
        <f t="shared" si="2"/>
        <v>3.95</v>
      </c>
    </row>
    <row r="6" ht="86.25" customHeight="1">
      <c r="A6" s="3" t="s">
        <v>25</v>
      </c>
      <c r="B6" s="3" t="s">
        <v>185</v>
      </c>
      <c r="C6" s="8" t="str">
        <f>HYPERLINK("https://www.google.com/search?tbm=isch&amp;q=Bivacco+Penne+Nere+refuge+bivouac+montagne+photo","🔎 Rechercher photo")</f>
        <v>🔎 Rechercher photo</v>
      </c>
      <c r="D6" s="3" t="s">
        <v>186</v>
      </c>
      <c r="E6" s="5">
        <v>2730.0</v>
      </c>
      <c r="F6" s="3" t="s">
        <v>300</v>
      </c>
      <c r="G6" s="5">
        <v>1020.0</v>
      </c>
      <c r="H6" s="3" t="s">
        <v>67</v>
      </c>
      <c r="I6" s="5">
        <v>4.7</v>
      </c>
      <c r="J6" s="5">
        <v>1710.0</v>
      </c>
      <c r="K6" s="6">
        <v>4.0</v>
      </c>
      <c r="L6" s="6">
        <v>4.0</v>
      </c>
      <c r="M6" s="6">
        <v>4.0</v>
      </c>
      <c r="N6" s="6">
        <v>4.0</v>
      </c>
      <c r="O6" s="6">
        <v>5.0</v>
      </c>
      <c r="P6" s="7">
        <f t="shared" si="1"/>
        <v>4</v>
      </c>
      <c r="Q6" s="6">
        <v>3.0</v>
      </c>
      <c r="R6" s="3" t="s">
        <v>424</v>
      </c>
      <c r="S6" s="3" t="s">
        <v>188</v>
      </c>
      <c r="T6" s="3" t="s">
        <v>189</v>
      </c>
      <c r="U6" s="4"/>
      <c r="V6" s="8" t="str">
        <f>HYPERLINK("https://www.google.com/maps/place/Bivacco+Penne+Nere/data=!4m2!3m1!1s0x4788d86c7686f131:0xbc680ca6b8181d43","Ouvrir Maps")</f>
        <v>Ouvrir Maps</v>
      </c>
      <c r="W6" s="8" t="str">
        <f>HYPERLINK("https://www.google.com/search?tbm=isch&amp;q=Bivacco+Penne+Nere+refuge+bivouac+montagne+photo","Recherche photos")</f>
        <v>Recherche photos</v>
      </c>
      <c r="X6" s="4"/>
      <c r="Y6" s="4"/>
      <c r="Z6" s="3" t="s">
        <v>50</v>
      </c>
      <c r="AA6" s="3" t="s">
        <v>190</v>
      </c>
      <c r="AB6" s="12">
        <f t="shared" si="2"/>
        <v>3.93</v>
      </c>
    </row>
    <row r="7" ht="86.25" customHeight="1">
      <c r="A7" s="3" t="s">
        <v>25</v>
      </c>
      <c r="B7" s="3" t="s">
        <v>310</v>
      </c>
      <c r="C7" s="8" t="str">
        <f>HYPERLINK("https://www.google.com/search?tbm=isch&amp;q=Bivacco+Bonelli+refuge+bivouac+montagne+photo","🔎 Rechercher photo")</f>
        <v>🔎 Rechercher photo</v>
      </c>
      <c r="D7" s="3" t="s">
        <v>224</v>
      </c>
      <c r="E7" s="5">
        <v>2328.0</v>
      </c>
      <c r="F7" s="3" t="s">
        <v>271</v>
      </c>
      <c r="G7" s="5">
        <v>1800.0</v>
      </c>
      <c r="H7" s="3" t="s">
        <v>226</v>
      </c>
      <c r="I7" s="5">
        <v>2.5</v>
      </c>
      <c r="J7" s="5">
        <v>528.0</v>
      </c>
      <c r="K7" s="6">
        <v>4.0</v>
      </c>
      <c r="L7" s="6">
        <v>4.0</v>
      </c>
      <c r="M7" s="6">
        <v>4.0</v>
      </c>
      <c r="N7" s="6">
        <v>4.0</v>
      </c>
      <c r="O7" s="6">
        <v>4.0</v>
      </c>
      <c r="P7" s="7">
        <f t="shared" si="1"/>
        <v>4</v>
      </c>
      <c r="Q7" s="6">
        <v>2.0</v>
      </c>
      <c r="R7" s="3" t="s">
        <v>425</v>
      </c>
      <c r="S7" s="3" t="s">
        <v>312</v>
      </c>
      <c r="T7" s="3" t="s">
        <v>313</v>
      </c>
      <c r="U7" s="4"/>
      <c r="V7" s="8" t="str">
        <f>HYPERLINK("https://www.google.com/maps/place/Bivacco+Bonelli/data=!4m2!3m1!1s0x12cce7d4a7071467:0x18489db159e0e15","Ouvrir Maps")</f>
        <v>Ouvrir Maps</v>
      </c>
      <c r="W7" s="8" t="str">
        <f>HYPERLINK("https://www.google.com/search?tbm=isch&amp;q=Bivacco+Bonelli+refuge+bivouac+montagne+photo","Recherche photos")</f>
        <v>Recherche photos</v>
      </c>
      <c r="X7" s="4"/>
      <c r="Y7" s="4"/>
      <c r="Z7" s="3" t="s">
        <v>50</v>
      </c>
      <c r="AA7" s="3" t="s">
        <v>63</v>
      </c>
      <c r="AB7" s="12">
        <f t="shared" si="2"/>
        <v>3.92</v>
      </c>
    </row>
    <row r="8" ht="86.25" customHeight="1">
      <c r="A8" s="3" t="s">
        <v>25</v>
      </c>
      <c r="B8" s="3" t="s">
        <v>223</v>
      </c>
      <c r="C8" s="8" t="str">
        <f>HYPERLINK("https://www.google.com/search?tbm=isch&amp;q=Bivacco+Elio+Bonfante+alle+Camoscere+refuge+bivouac+montagne+photo","🔎 Rechercher photo")</f>
        <v>🔎 Rechercher photo</v>
      </c>
      <c r="D8" s="3" t="s">
        <v>224</v>
      </c>
      <c r="E8" s="5">
        <v>2634.0</v>
      </c>
      <c r="F8" s="3" t="s">
        <v>271</v>
      </c>
      <c r="G8" s="5">
        <v>1790.0</v>
      </c>
      <c r="H8" s="3" t="s">
        <v>226</v>
      </c>
      <c r="I8" s="5">
        <v>3.5</v>
      </c>
      <c r="J8" s="5">
        <v>844.0</v>
      </c>
      <c r="K8" s="6">
        <v>4.0</v>
      </c>
      <c r="L8" s="6">
        <v>4.0</v>
      </c>
      <c r="M8" s="6">
        <v>4.0</v>
      </c>
      <c r="N8" s="6">
        <v>4.0</v>
      </c>
      <c r="O8" s="6">
        <v>4.0</v>
      </c>
      <c r="P8" s="7">
        <f t="shared" si="1"/>
        <v>4</v>
      </c>
      <c r="Q8" s="6">
        <v>2.0</v>
      </c>
      <c r="R8" s="3" t="s">
        <v>424</v>
      </c>
      <c r="S8" s="3" t="s">
        <v>227</v>
      </c>
      <c r="T8" s="3" t="s">
        <v>228</v>
      </c>
      <c r="U8" s="4"/>
      <c r="V8" s="8" t="str">
        <f>HYPERLINK("https://www.google.com/maps/place/Bivacco+Elio+Bonfante+alle+Camoscere/data=!4m2!3m1!1s0x12ccdf9fbf01009d:0xe9fae0dde281c570","Ouvrir Maps")</f>
        <v>Ouvrir Maps</v>
      </c>
      <c r="W8" s="8" t="str">
        <f>HYPERLINK("https://www.google.com/search?tbm=isch&amp;q=Bivacco+Elio+Bonfante+alle+Camoscere+refuge+bivouac+montagne+photo","Recherche photos")</f>
        <v>Recherche photos</v>
      </c>
      <c r="X8" s="4"/>
      <c r="Y8" s="4"/>
      <c r="Z8" s="3" t="s">
        <v>50</v>
      </c>
      <c r="AA8" s="3" t="s">
        <v>229</v>
      </c>
      <c r="AB8" s="12">
        <f t="shared" si="2"/>
        <v>3.88</v>
      </c>
    </row>
    <row r="9" ht="86.25" customHeight="1">
      <c r="A9" s="3" t="s">
        <v>25</v>
      </c>
      <c r="B9" s="3" t="s">
        <v>236</v>
      </c>
      <c r="C9" s="4" t="str">
        <f>IFERROR(IMAGE("https://d2exd72xrrp1s7.cloudfront.net/www/000/1k6/xu/xuom17k3twe614r930nr4i3tx48fsdapo-uhi51808637/0?crop=true&amp;height=576&amp;width=768",4,92,160),"Photo indisponible")</f>
        <v/>
      </c>
      <c r="D9" s="3" t="s">
        <v>237</v>
      </c>
      <c r="E9" s="5">
        <v>2585.0</v>
      </c>
      <c r="F9" s="3" t="s">
        <v>272</v>
      </c>
      <c r="G9" s="5">
        <v>1630.0</v>
      </c>
      <c r="H9" s="3" t="s">
        <v>73</v>
      </c>
      <c r="I9" s="5">
        <v>4.2</v>
      </c>
      <c r="J9" s="5">
        <v>955.0</v>
      </c>
      <c r="K9" s="6">
        <v>4.0</v>
      </c>
      <c r="L9" s="6">
        <v>4.0</v>
      </c>
      <c r="M9" s="6">
        <v>4.0</v>
      </c>
      <c r="N9" s="6">
        <v>4.0</v>
      </c>
      <c r="O9" s="6">
        <v>4.0</v>
      </c>
      <c r="P9" s="7">
        <f t="shared" si="1"/>
        <v>4</v>
      </c>
      <c r="Q9" s="6">
        <v>2.0</v>
      </c>
      <c r="R9" s="3" t="s">
        <v>426</v>
      </c>
      <c r="S9" s="3" t="s">
        <v>239</v>
      </c>
      <c r="T9" s="3" t="s">
        <v>240</v>
      </c>
      <c r="U9" s="4"/>
      <c r="V9" s="8" t="str">
        <f>HYPERLINK("https://www.google.com/maps/place/Bivacco+Reboulaz/data=!4m2!3m1!1s0x4788d1a3a7704cdf:0xfd9e66a5ad9bea2a","Ouvrir Maps")</f>
        <v>Ouvrir Maps</v>
      </c>
      <c r="W9" s="8" t="str">
        <f>HYPERLINK("https://www.google.com/search?tbm=isch&amp;q=Bivacco+Reboulaz+refuge+bivouac+montagne+photo","Recherche photos")</f>
        <v>Recherche photos</v>
      </c>
      <c r="X9" s="10" t="s">
        <v>241</v>
      </c>
      <c r="Y9" s="4"/>
      <c r="Z9" s="3" t="s">
        <v>81</v>
      </c>
      <c r="AA9" s="3" t="s">
        <v>63</v>
      </c>
      <c r="AB9" s="12">
        <f t="shared" si="2"/>
        <v>3.83</v>
      </c>
    </row>
    <row r="10" ht="86.25" customHeight="1">
      <c r="A10" s="3" t="s">
        <v>25</v>
      </c>
      <c r="B10" s="3" t="s">
        <v>242</v>
      </c>
      <c r="C10" s="8" t="str">
        <f>HYPERLINK("https://www.google.com/search?tbm=isch&amp;q=Bivacco+Regondi-Gavazzi+refuge+bivouac+montagne+photo","🔎 Rechercher photo")</f>
        <v>🔎 Rechercher photo</v>
      </c>
      <c r="D10" s="3" t="s">
        <v>151</v>
      </c>
      <c r="E10" s="5">
        <v>2595.0</v>
      </c>
      <c r="F10" s="3" t="s">
        <v>280</v>
      </c>
      <c r="G10" s="5">
        <v>1350.0</v>
      </c>
      <c r="H10" s="3" t="s">
        <v>153</v>
      </c>
      <c r="I10" s="5">
        <v>3.5</v>
      </c>
      <c r="J10" s="5">
        <v>1245.0</v>
      </c>
      <c r="K10" s="6">
        <v>4.0</v>
      </c>
      <c r="L10" s="6">
        <v>4.0</v>
      </c>
      <c r="M10" s="6">
        <v>4.0</v>
      </c>
      <c r="N10" s="6">
        <v>4.0</v>
      </c>
      <c r="O10" s="6">
        <v>4.0</v>
      </c>
      <c r="P10" s="7">
        <f t="shared" si="1"/>
        <v>4</v>
      </c>
      <c r="Q10" s="6">
        <v>3.0</v>
      </c>
      <c r="R10" s="3" t="s">
        <v>426</v>
      </c>
      <c r="S10" s="3" t="s">
        <v>243</v>
      </c>
      <c r="T10" s="3" t="s">
        <v>244</v>
      </c>
      <c r="U10" s="4"/>
      <c r="V10" s="8" t="str">
        <f>HYPERLINK("https://www.google.com/maps/place/Bivacco+Regondi-Gavazzi/data=!4m2!3m1!1s0x478929bdc1ff8ab7:0xcae5e5d66ffe1131","Ouvrir Maps")</f>
        <v>Ouvrir Maps</v>
      </c>
      <c r="W10" s="8" t="str">
        <f>HYPERLINK("https://www.google.com/search?tbm=isch&amp;q=Bivacco+Regondi-Gavazzi+refuge+bivouac+montagne+photo","Recherche photos")</f>
        <v>Recherche photos</v>
      </c>
      <c r="X10" s="4"/>
      <c r="Y10" s="4"/>
      <c r="Z10" s="3" t="s">
        <v>50</v>
      </c>
      <c r="AA10" s="3" t="s">
        <v>245</v>
      </c>
      <c r="AB10" s="12">
        <f t="shared" si="2"/>
        <v>3.82</v>
      </c>
    </row>
    <row r="11" ht="86.25" customHeight="1">
      <c r="A11" s="3" t="s">
        <v>25</v>
      </c>
      <c r="B11" s="3" t="s">
        <v>246</v>
      </c>
      <c r="C11" s="8" t="str">
        <f>HYPERLINK("https://www.google.com/search?tbm=isch&amp;q=Refuge+Nacamuli+au+col+Collon+refuge+bivouac+montagne+photo","🔎 Rechercher photo")</f>
        <v>🔎 Rechercher photo</v>
      </c>
      <c r="D11" s="3" t="s">
        <v>151</v>
      </c>
      <c r="E11" s="5">
        <v>2818.0</v>
      </c>
      <c r="F11" s="3" t="s">
        <v>281</v>
      </c>
      <c r="G11" s="5">
        <v>1600.0</v>
      </c>
      <c r="H11" s="3" t="s">
        <v>153</v>
      </c>
      <c r="I11" s="5">
        <v>5.0</v>
      </c>
      <c r="J11" s="5">
        <v>1218.0</v>
      </c>
      <c r="K11" s="6">
        <v>4.0</v>
      </c>
      <c r="L11" s="6">
        <v>4.0</v>
      </c>
      <c r="M11" s="6">
        <v>3.0</v>
      </c>
      <c r="N11" s="6">
        <v>4.0</v>
      </c>
      <c r="O11" s="6">
        <v>5.0</v>
      </c>
      <c r="P11" s="7">
        <f t="shared" si="1"/>
        <v>4</v>
      </c>
      <c r="Q11" s="6">
        <v>3.0</v>
      </c>
      <c r="R11" s="3" t="s">
        <v>427</v>
      </c>
      <c r="S11" s="3" t="s">
        <v>248</v>
      </c>
      <c r="T11" s="3" t="s">
        <v>249</v>
      </c>
      <c r="U11" s="4"/>
      <c r="V11" s="8" t="str">
        <f>HYPERLINK("https://www.google.com/maps/place/Refuge+Nacamuli+au+col+Collon/data=!4m2!3m1!1s0x4788d3412c1b0df5:0xab53ac9a8b45c9f1","Ouvrir Maps")</f>
        <v>Ouvrir Maps</v>
      </c>
      <c r="W11" s="8" t="str">
        <f>HYPERLINK("https://www.google.com/search?tbm=isch&amp;q=Refuge+Nacamuli+au+col+Collon+refuge+bivouac+montagne+photo","Recherche photos")</f>
        <v>Recherche photos</v>
      </c>
      <c r="X11" s="4"/>
      <c r="Y11" s="4"/>
      <c r="Z11" s="3" t="s">
        <v>50</v>
      </c>
      <c r="AA11" s="3" t="s">
        <v>250</v>
      </c>
      <c r="AB11" s="12">
        <f t="shared" si="2"/>
        <v>3.8</v>
      </c>
    </row>
    <row r="12" ht="86.25" customHeight="1">
      <c r="A12" s="3" t="s">
        <v>25</v>
      </c>
      <c r="B12" s="3" t="s">
        <v>330</v>
      </c>
      <c r="C12" s="4" t="str">
        <f>IFERROR(IMAGE("https://www.sac-cas.ch/processed/sa2020assetsprod/f/0/csm_1504766991_1684337261master_e08184a299.jpg",4,92,160),"Photo indisponible")</f>
        <v/>
      </c>
      <c r="D12" s="3" t="s">
        <v>331</v>
      </c>
      <c r="E12" s="5">
        <v>2428.0</v>
      </c>
      <c r="F12" s="3" t="s">
        <v>332</v>
      </c>
      <c r="G12" s="5">
        <v>1480.0</v>
      </c>
      <c r="H12" s="3" t="s">
        <v>333</v>
      </c>
      <c r="I12" s="5">
        <v>2.5</v>
      </c>
      <c r="J12" s="5">
        <v>948.0</v>
      </c>
      <c r="K12" s="6">
        <v>4.0</v>
      </c>
      <c r="L12" s="6">
        <v>4.0</v>
      </c>
      <c r="M12" s="6">
        <v>4.0</v>
      </c>
      <c r="N12" s="6">
        <v>4.0</v>
      </c>
      <c r="O12" s="6">
        <v>4.0</v>
      </c>
      <c r="P12" s="7">
        <f t="shared" si="1"/>
        <v>4</v>
      </c>
      <c r="Q12" s="6">
        <v>2.0</v>
      </c>
      <c r="R12" s="3" t="s">
        <v>424</v>
      </c>
      <c r="S12" s="3" t="s">
        <v>334</v>
      </c>
      <c r="T12" s="3" t="s">
        <v>335</v>
      </c>
      <c r="U12" s="8" t="str">
        <f>HYPERLINK("https://www.sac-cas.ch/en/huts-and-tours/sac-route-portal/laggin-biwak-sac-2147000144/mountain-hiking/","Site officiel")</f>
        <v>Site officiel</v>
      </c>
      <c r="V12" s="8" t="str">
        <f>HYPERLINK("https://www.google.com/maps/place/Laggin+Biwak/data=!4m2!3m1!1s0x478f5c879447c697:0x30570f45d2415284","Ouvrir Maps")</f>
        <v>Ouvrir Maps</v>
      </c>
      <c r="W12" s="8" t="str">
        <f>HYPERLINK("https://www.sac-cas.ch/processed/sa2020assetsprod/f/0/csm_1504766991_1684337261master_e08184a299.jpg","Photo HD")</f>
        <v>Photo HD</v>
      </c>
      <c r="X12" s="8" t="str">
        <f>HYPERLINK("https://www.inalto.org/fr/rapports/randonnees/laggin-biwak-da-simplon-dorf","Fiche source")</f>
        <v>Fiche source</v>
      </c>
      <c r="Y12" s="4"/>
      <c r="Z12" s="3" t="s">
        <v>32</v>
      </c>
      <c r="AA12" s="3" t="s">
        <v>63</v>
      </c>
      <c r="AB12" s="12">
        <f t="shared" si="2"/>
        <v>3.8</v>
      </c>
    </row>
    <row r="13" ht="86.25" customHeight="1">
      <c r="A13" s="3" t="s">
        <v>25</v>
      </c>
      <c r="B13" s="3" t="s">
        <v>301</v>
      </c>
      <c r="C13" s="4" t="str">
        <f>IFERROR(IMAGE("https://cms.outtrip.fr/assets/_1200x630_crop_center-center_82_none/Bivacco-Tzan.jpeg?mtime=1676631907",4,92,160),"Photo indisponible")</f>
        <v/>
      </c>
      <c r="D13" s="3" t="s">
        <v>302</v>
      </c>
      <c r="E13" s="5">
        <v>2482.0</v>
      </c>
      <c r="F13" s="3" t="s">
        <v>304</v>
      </c>
      <c r="G13" s="5">
        <v>1490.0</v>
      </c>
      <c r="H13" s="3" t="s">
        <v>99</v>
      </c>
      <c r="I13" s="5">
        <v>4.2</v>
      </c>
      <c r="J13" s="5">
        <v>992.0</v>
      </c>
      <c r="K13" s="6">
        <v>4.0</v>
      </c>
      <c r="L13" s="6">
        <v>3.0</v>
      </c>
      <c r="M13" s="6">
        <v>3.0</v>
      </c>
      <c r="N13" s="6">
        <v>4.0</v>
      </c>
      <c r="O13" s="6">
        <v>4.0</v>
      </c>
      <c r="P13" s="7">
        <f t="shared" si="1"/>
        <v>4</v>
      </c>
      <c r="Q13" s="6">
        <v>2.0</v>
      </c>
      <c r="R13" s="3" t="s">
        <v>426</v>
      </c>
      <c r="S13" s="3" t="s">
        <v>305</v>
      </c>
      <c r="T13" s="3" t="s">
        <v>306</v>
      </c>
      <c r="U13" s="4"/>
      <c r="V13" s="8" t="str">
        <f>HYPERLINK("https://www.google.com/maps/place/Bivacco+Tzan/data=!4m2!3m1!1s0x4788d1394f3cb30f:0x218eb70672719f9a","Ouvrir Maps")</f>
        <v>Ouvrir Maps</v>
      </c>
      <c r="W13" s="8" t="str">
        <f>HYPERLINK("https://cms.outtrip.fr/assets/_1200x630_crop_center-center_82_none/Bivacco-Tzan.jpeg?mtime=1676631907","Photo HD")</f>
        <v>Photo HD</v>
      </c>
      <c r="X13" s="4"/>
      <c r="Y13" s="4"/>
      <c r="Z13" s="3" t="s">
        <v>50</v>
      </c>
      <c r="AA13" s="3" t="s">
        <v>307</v>
      </c>
      <c r="AB13" s="12">
        <f t="shared" si="2"/>
        <v>3.58</v>
      </c>
    </row>
    <row r="14" ht="86.25" customHeight="1">
      <c r="A14" s="3" t="s">
        <v>25</v>
      </c>
      <c r="B14" s="3" t="s">
        <v>207</v>
      </c>
      <c r="C14" s="8" t="str">
        <f>HYPERLINK("https://www.google.com/search?tbm=isch&amp;q=Cabane+de+Valsorey+CAS+refuge+bivouac+montagne+photo","🔎 Rechercher photo")</f>
        <v>🔎 Rechercher photo</v>
      </c>
      <c r="D14" s="3" t="s">
        <v>208</v>
      </c>
      <c r="E14" s="5">
        <v>3032.0</v>
      </c>
      <c r="F14" s="3" t="s">
        <v>209</v>
      </c>
      <c r="G14" s="5">
        <v>1640.0</v>
      </c>
      <c r="H14" s="3" t="s">
        <v>210</v>
      </c>
      <c r="I14" s="5">
        <v>4.8</v>
      </c>
      <c r="J14" s="5">
        <v>1392.0</v>
      </c>
      <c r="K14" s="6">
        <v>3.0</v>
      </c>
      <c r="L14" s="6">
        <v>4.0</v>
      </c>
      <c r="M14" s="6">
        <v>3.0</v>
      </c>
      <c r="N14" s="6">
        <v>5.0</v>
      </c>
      <c r="O14" s="6">
        <v>5.0</v>
      </c>
      <c r="P14" s="7">
        <f t="shared" si="1"/>
        <v>3</v>
      </c>
      <c r="Q14" s="6">
        <v>4.0</v>
      </c>
      <c r="R14" s="13" t="s">
        <v>428</v>
      </c>
      <c r="S14" s="3" t="s">
        <v>211</v>
      </c>
      <c r="T14" s="3" t="s">
        <v>212</v>
      </c>
      <c r="U14" s="8" t="str">
        <f>HYPERLINK("https://www.valsorey.ch/fr/acceder-cabane","Site officiel")</f>
        <v>Site officiel</v>
      </c>
      <c r="V14" s="8" t="str">
        <f>HYPERLINK("https://www.google.com/maps/place/Cabane+de+Valsorey+CAS/data=!4m2!3m1!1s0x47892c67fe82d707:0x7db81d6a1bea6af7","Ouvrir Maps")</f>
        <v>Ouvrir Maps</v>
      </c>
      <c r="W14" s="8" t="str">
        <f>HYPERLINK("https://www.google.com/search?tbm=isch&amp;q=Cabane+de+Valsorey+CAS+refuge+bivouac+montagne+photo","Recherche photos")</f>
        <v>Recherche photos</v>
      </c>
      <c r="X14" s="8" t="str">
        <f>HYPERLINK("https://www.sac-cas.ch/fr/cabanes-et-courses/portail-des-courses-du-cas/cabane-de-valsorey-cas-2147000282/","Fiche source")</f>
        <v>Fiche source</v>
      </c>
      <c r="Y14" s="10" t="s">
        <v>429</v>
      </c>
      <c r="Z14" s="3" t="s">
        <v>32</v>
      </c>
      <c r="AA14" s="3" t="s">
        <v>213</v>
      </c>
      <c r="AB14" s="12">
        <f t="shared" si="2"/>
        <v>3.27</v>
      </c>
    </row>
    <row r="15" ht="86.25" customHeight="1">
      <c r="A15" s="3" t="s">
        <v>25</v>
      </c>
      <c r="B15" s="3" t="s">
        <v>355</v>
      </c>
      <c r="C15" s="4" t="str">
        <f>IFERROR(IMAGE("https://img2.oastatic.com/img2/62566998/max/rif--alpetto.jpg",4,92,160),"Photo indisponible")</f>
        <v/>
      </c>
      <c r="D15" s="3" t="s">
        <v>356</v>
      </c>
      <c r="E15" s="5">
        <v>2268.0</v>
      </c>
      <c r="F15" s="3" t="s">
        <v>358</v>
      </c>
      <c r="G15" s="5">
        <v>1650.0</v>
      </c>
      <c r="H15" s="3" t="s">
        <v>125</v>
      </c>
      <c r="I15" s="5">
        <v>3.6</v>
      </c>
      <c r="J15" s="5">
        <v>618.0</v>
      </c>
      <c r="K15" s="6">
        <v>4.0</v>
      </c>
      <c r="L15" s="6">
        <v>2.0</v>
      </c>
      <c r="M15" s="6">
        <v>1.0</v>
      </c>
      <c r="N15" s="6">
        <v>4.0</v>
      </c>
      <c r="O15" s="6">
        <v>4.0</v>
      </c>
      <c r="P15" s="7">
        <f t="shared" si="1"/>
        <v>3</v>
      </c>
      <c r="Q15" s="6">
        <v>2.0</v>
      </c>
      <c r="R15" s="3" t="s">
        <v>426</v>
      </c>
      <c r="S15" s="3" t="s">
        <v>359</v>
      </c>
      <c r="T15" s="3" t="s">
        <v>360</v>
      </c>
      <c r="U15" s="8" t="str">
        <f>HYPERLINK("https://www.rifugioalpetto.it/","Site officiel")</f>
        <v>Site officiel</v>
      </c>
      <c r="V15" s="8" t="str">
        <f>HYPERLINK("https://www.google.com/maps/place/Rifugio+Alpetto/data=!4m2!3m1!1s0x12cd285033895bb3:0x5ccc6eaf092f3f46","Ouvrir Maps")</f>
        <v>Ouvrir Maps</v>
      </c>
      <c r="W15" s="8" t="str">
        <f>HYPERLINK("https://img2.oastatic.com/img2/62566998/max/rif--alpetto.jpg","Photo HD")</f>
        <v>Photo HD</v>
      </c>
      <c r="X15" s="4"/>
      <c r="Y15" s="4"/>
      <c r="Z15" s="3" t="s">
        <v>50</v>
      </c>
      <c r="AA15" s="3" t="s">
        <v>361</v>
      </c>
      <c r="AB15" s="12">
        <f t="shared" si="2"/>
        <v>3.24</v>
      </c>
    </row>
    <row r="16" ht="86.25" customHeight="1">
      <c r="A16" s="3" t="s">
        <v>25</v>
      </c>
      <c r="B16" s="3" t="s">
        <v>341</v>
      </c>
      <c r="C16" s="4" t="str">
        <f>IFERROR(IMAGE("https://www.suisseterroir.ch/common/showPhoto.asp?Fieldname=File1&amp;ID=4593&amp;Objectname=_Mod_adresseFiles",4,92,160),"Photo indisponible")</f>
        <v/>
      </c>
      <c r="D16" s="3" t="s">
        <v>342</v>
      </c>
      <c r="E16" s="5">
        <v>2440.0</v>
      </c>
      <c r="F16" s="3" t="s">
        <v>344</v>
      </c>
      <c r="G16" s="5">
        <v>1350.0</v>
      </c>
      <c r="H16" s="3" t="s">
        <v>345</v>
      </c>
      <c r="I16" s="5">
        <v>3.0</v>
      </c>
      <c r="J16" s="5">
        <v>1090.0</v>
      </c>
      <c r="K16" s="6">
        <v>3.0</v>
      </c>
      <c r="L16" s="6">
        <v>2.0</v>
      </c>
      <c r="M16" s="6">
        <v>1.0</v>
      </c>
      <c r="N16" s="6">
        <v>5.0</v>
      </c>
      <c r="O16" s="6">
        <v>5.0</v>
      </c>
      <c r="P16" s="7">
        <f t="shared" si="1"/>
        <v>3</v>
      </c>
      <c r="Q16" s="6">
        <v>3.0</v>
      </c>
      <c r="R16" s="3" t="s">
        <v>426</v>
      </c>
      <c r="S16" s="3" t="s">
        <v>346</v>
      </c>
      <c r="T16" s="3" t="s">
        <v>347</v>
      </c>
      <c r="U16" s="8" t="str">
        <f>HYPERLINK("https://fenestral.ch/","Site officiel")</f>
        <v>Site officiel</v>
      </c>
      <c r="V16" s="8" t="str">
        <f>HYPERLINK("https://www.google.com/maps/place/Cabane+du+Fenestral/data=!4m2!3m1!1s0x478ec771cab0a115:0x5f1714f1a55dfd70","Ouvrir Maps")</f>
        <v>Ouvrir Maps</v>
      </c>
      <c r="W16" s="8" t="str">
        <f>HYPERLINK("https://www.suisseterroir.ch/common/showPhoto.asp?Fieldname=File1&amp;ID=4593&amp;Objectname=_Mod_adresseFiles","Photo HD")</f>
        <v>Photo HD</v>
      </c>
      <c r="X16" s="8" t="str">
        <f>HYPERLINK("https://www.sac-cas.ch/fr/cabanes-et-courses/portail-des-courses-du-cas/cabane-du-fenestral-2147000093/","Fiche source")</f>
        <v>Fiche source</v>
      </c>
      <c r="Y16" s="4"/>
      <c r="Z16" s="3" t="s">
        <v>32</v>
      </c>
      <c r="AA16" s="3" t="s">
        <v>63</v>
      </c>
      <c r="AB16" s="12">
        <f t="shared" si="2"/>
        <v>3.16</v>
      </c>
    </row>
    <row r="17" ht="86.25" customHeight="1">
      <c r="A17" s="3" t="s">
        <v>25</v>
      </c>
      <c r="B17" s="3" t="s">
        <v>349</v>
      </c>
      <c r="C17" s="4" t="str">
        <f>IFERROR(IMAGE("https://d2exd72xrrp1s7.cloudfront.net/www/000/1k9/1w/1wnw0cb3ia6s2emp92glcxmmo5d4fqs3l-uhi86205615/0?crop=true&amp;height=576&amp;width=768",4,92,160),"Photo indisponible")</f>
        <v/>
      </c>
      <c r="D17" s="3" t="s">
        <v>58</v>
      </c>
      <c r="E17" s="5">
        <v>2376.0</v>
      </c>
      <c r="F17" s="3" t="s">
        <v>351</v>
      </c>
      <c r="G17" s="5">
        <v>1420.0</v>
      </c>
      <c r="H17" s="3" t="s">
        <v>60</v>
      </c>
      <c r="I17" s="5">
        <v>2.5</v>
      </c>
      <c r="J17" s="5">
        <v>956.0</v>
      </c>
      <c r="K17" s="6">
        <v>3.0</v>
      </c>
      <c r="L17" s="6">
        <v>2.0</v>
      </c>
      <c r="M17" s="6">
        <v>1.0</v>
      </c>
      <c r="N17" s="6">
        <v>5.0</v>
      </c>
      <c r="O17" s="6">
        <v>4.0</v>
      </c>
      <c r="P17" s="7">
        <f t="shared" si="1"/>
        <v>3</v>
      </c>
      <c r="Q17" s="6">
        <v>2.0</v>
      </c>
      <c r="R17" s="3" t="s">
        <v>425</v>
      </c>
      <c r="S17" s="3" t="s">
        <v>352</v>
      </c>
      <c r="T17" s="3" t="s">
        <v>353</v>
      </c>
      <c r="U17" s="4"/>
      <c r="V17" s="8" t="str">
        <f>HYPERLINK("https://www.google.com/maps/place/Cima+del+Bosco/data=!4m2!3m1!1s0x4789db90c3dc61e9:0x9746d104baef82e","Ouvrir Maps")</f>
        <v>Ouvrir Maps</v>
      </c>
      <c r="W17" s="8" t="str">
        <f>HYPERLINK("https://d2exd72xrrp1s7.cloudfront.net/www/000/1k9/1w/1wnw0cb3ia6s2emp92glcxmmo5d4fqs3l-uhi86205615/0?crop=true&amp;height=576&amp;width=768","Photo HD")</f>
        <v>Photo HD</v>
      </c>
      <c r="X17" s="4"/>
      <c r="Y17" s="4"/>
      <c r="Z17" s="3" t="s">
        <v>50</v>
      </c>
      <c r="AA17" s="3" t="s">
        <v>354</v>
      </c>
      <c r="AB17" s="12">
        <f t="shared" si="2"/>
        <v>3.1</v>
      </c>
    </row>
    <row r="18" ht="86.25" customHeight="1">
      <c r="A18" s="3" t="s">
        <v>25</v>
      </c>
      <c r="B18" s="3" t="s">
        <v>382</v>
      </c>
      <c r="C18" s="8" t="str">
        <f>HYPERLINK("https://www.google.com/search?tbm=isch&amp;q=Rifugio+Mario+Bezzi+refuge+bivouac+montagne+photo","🔎 Rechercher photo")</f>
        <v>🔎 Rechercher photo</v>
      </c>
      <c r="D18" s="3" t="s">
        <v>383</v>
      </c>
      <c r="E18" s="5">
        <v>2284.0</v>
      </c>
      <c r="F18" s="3" t="s">
        <v>385</v>
      </c>
      <c r="G18" s="5">
        <v>1660.0</v>
      </c>
      <c r="H18" s="3" t="s">
        <v>111</v>
      </c>
      <c r="I18" s="5">
        <v>2.3</v>
      </c>
      <c r="J18" s="5">
        <v>624.0</v>
      </c>
      <c r="K18" s="6">
        <v>3.0</v>
      </c>
      <c r="L18" s="6">
        <v>2.0</v>
      </c>
      <c r="M18" s="6">
        <v>1.0</v>
      </c>
      <c r="N18" s="6">
        <v>4.0</v>
      </c>
      <c r="O18" s="6">
        <v>4.0</v>
      </c>
      <c r="P18" s="7">
        <f t="shared" si="1"/>
        <v>3</v>
      </c>
      <c r="Q18" s="6">
        <v>2.0</v>
      </c>
      <c r="R18" s="3" t="s">
        <v>430</v>
      </c>
      <c r="S18" s="3" t="s">
        <v>386</v>
      </c>
      <c r="T18" s="3" t="s">
        <v>387</v>
      </c>
      <c r="U18" s="4"/>
      <c r="V18" s="8" t="str">
        <f>HYPERLINK("https://www.google.com/maps/place/Rifugio+Mario+Bezzi/data=!4m2!3m1!1s0x478916ea65ef8c09:0xdcaef95bbe5bae15","Ouvrir Maps")</f>
        <v>Ouvrir Maps</v>
      </c>
      <c r="W18" s="8" t="str">
        <f>HYPERLINK("https://www.google.com/search?tbm=isch&amp;q=Rifugio+Mario+Bezzi+refuge+bivouac+montagne+photo","Recherche photos")</f>
        <v>Recherche photos</v>
      </c>
      <c r="X18" s="4"/>
      <c r="Y18" s="4"/>
      <c r="Z18" s="3" t="s">
        <v>50</v>
      </c>
      <c r="AA18" s="3" t="s">
        <v>63</v>
      </c>
      <c r="AB18" s="12">
        <f t="shared" si="2"/>
        <v>2.93</v>
      </c>
    </row>
    <row r="19" ht="86.25" customHeight="1">
      <c r="A19" s="3" t="s">
        <v>25</v>
      </c>
      <c r="B19" s="3" t="s">
        <v>389</v>
      </c>
      <c r="C19" s="8" t="str">
        <f>HYPERLINK("https://www.google.com/search?tbm=isch&amp;q=Rifugio+Fauniera+refuge+bivouac+montagne+photo","🔎 Rechercher photo")</f>
        <v>🔎 Rechercher photo</v>
      </c>
      <c r="D19" s="3" t="s">
        <v>390</v>
      </c>
      <c r="E19" s="5">
        <v>2305.0</v>
      </c>
      <c r="F19" s="3" t="s">
        <v>392</v>
      </c>
      <c r="G19" s="5">
        <v>1720.0</v>
      </c>
      <c r="H19" s="3" t="s">
        <v>393</v>
      </c>
      <c r="I19" s="5">
        <v>2.2</v>
      </c>
      <c r="J19" s="5">
        <v>585.0</v>
      </c>
      <c r="K19" s="6">
        <v>3.0</v>
      </c>
      <c r="L19" s="6">
        <v>1.0</v>
      </c>
      <c r="M19" s="6">
        <v>1.0</v>
      </c>
      <c r="N19" s="6">
        <v>3.0</v>
      </c>
      <c r="O19" s="6">
        <v>4.0</v>
      </c>
      <c r="P19" s="7">
        <f t="shared" si="1"/>
        <v>3</v>
      </c>
      <c r="Q19" s="6">
        <v>2.0</v>
      </c>
      <c r="R19" s="3" t="s">
        <v>425</v>
      </c>
      <c r="S19" s="3" t="s">
        <v>394</v>
      </c>
      <c r="T19" s="3" t="s">
        <v>395</v>
      </c>
      <c r="U19" s="4"/>
      <c r="V19" s="8" t="str">
        <f>HYPERLINK("https://www.google.com/maps/place/Rifugio+Fauniera/data=!4m2!3m1!1s0x12cd1d7b48427e09:0x5377d170a813c5e2","Ouvrir Maps")</f>
        <v>Ouvrir Maps</v>
      </c>
      <c r="W19" s="8" t="str">
        <f>HYPERLINK("https://www.google.com/search?tbm=isch&amp;q=Rifugio+Fauniera+refuge+bivouac+montagne+photo","Recherche photos")</f>
        <v>Recherche photos</v>
      </c>
      <c r="X19" s="10" t="s">
        <v>396</v>
      </c>
      <c r="Y19" s="4"/>
      <c r="Z19" s="3" t="s">
        <v>81</v>
      </c>
      <c r="AA19" s="3" t="s">
        <v>63</v>
      </c>
      <c r="AB19" s="12">
        <f t="shared" si="2"/>
        <v>2.71</v>
      </c>
    </row>
  </sheetData>
  <conditionalFormatting sqref="P2:P19">
    <cfRule type="colorScale" priority="1">
      <colorScale>
        <cfvo type="formula" val="1"/>
        <cfvo type="formula" val="3"/>
        <cfvo type="formula" val="5"/>
        <color rgb="FFFFE0D3"/>
        <color rgb="FFFFF7D3"/>
        <color rgb="FFCCEAD1"/>
      </colorScale>
    </cfRule>
  </conditionalFormatting>
  <dataValidations>
    <dataValidation type="list" allowBlank="1" showErrorMessage="1" sqref="K2:Q19">
      <formula1>"0,1,2,3,4,5"</formula1>
    </dataValidation>
    <dataValidation type="custom" allowBlank="1" showDropDown="1" sqref="E2:E19 G2:G19 I2:J19">
      <formula1>AND(ISNUMBER(E2),(NOT(OR(NOT(ISERROR(DATEVALUE(E2))), AND(ISNUMBER(E2), LEFT(CELL("format", E2))="D")))))</formula1>
    </dataValidation>
    <dataValidation allowBlank="1" showDropDown="1" sqref="A2:D19 F2:F19 H2:H19 R2:AA19"/>
  </dataValidations>
  <hyperlinks>
    <hyperlink r:id="rId2" ref="X3"/>
    <hyperlink r:id="rId3" ref="X9"/>
    <hyperlink r:id="rId4" ref="Y14"/>
    <hyperlink r:id="rId5" ref="X19"/>
  </hyperlinks>
  <drawing r:id="rId6"/>
  <legacyDrawing r:id="rId7"/>
  <tableParts count="1"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2.0"/>
    <col customWidth="1" min="2" max="2" width="33.88"/>
    <col customWidth="1" min="3" max="3" width="22.38"/>
    <col customWidth="1" min="4" max="4" width="26.38"/>
    <col customWidth="1" min="5" max="5" width="14.63"/>
    <col customWidth="1" min="6" max="6" width="38.88"/>
    <col customWidth="1" min="7" max="7" width="20.5"/>
    <col customWidth="1" min="8" max="8" width="40.75"/>
    <col customWidth="1" min="9" max="9" width="20.5"/>
    <col customWidth="1" min="10" max="10" width="15.13"/>
    <col customWidth="1" min="11" max="11" width="14.88"/>
    <col customWidth="1" min="12" max="12" width="15.25"/>
    <col customWidth="1" min="13" max="13" width="18.13"/>
    <col customWidth="1" min="14" max="14" width="18.38"/>
    <col customWidth="1" min="15" max="15" width="22.13"/>
    <col customWidth="1" min="16" max="16" width="18.5"/>
    <col customWidth="1" min="17" max="17" width="15.13"/>
    <col customWidth="1" min="18" max="18" width="19.13"/>
    <col customWidth="1" min="19" max="19" width="18.88"/>
    <col customWidth="1" min="20" max="20" width="18.75"/>
    <col customWidth="1" min="21" max="21" width="27.63"/>
    <col customWidth="1" min="22" max="22" width="37.63"/>
    <col customWidth="1" min="23" max="23" width="20.0"/>
    <col customWidth="1" min="24" max="24" width="18.75"/>
    <col customWidth="1" min="25" max="25" width="20.88"/>
    <col customWidth="1" min="26" max="26" width="34.5"/>
    <col customWidth="1" min="27" max="27" width="30.13"/>
    <col customWidth="1" min="28" max="28" width="24.88"/>
    <col customWidth="1" min="29" max="29" width="45.75"/>
    <col hidden="1" min="30" max="30" width="12.63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259</v>
      </c>
      <c r="I1" s="1" t="s">
        <v>260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261</v>
      </c>
      <c r="T1" s="1" t="s">
        <v>422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423</v>
      </c>
      <c r="AB1" s="1" t="s">
        <v>22</v>
      </c>
      <c r="AC1" s="1" t="s">
        <v>23</v>
      </c>
      <c r="AD1" s="2" t="s">
        <v>24</v>
      </c>
    </row>
    <row r="2" ht="86.25" customHeight="1">
      <c r="A2" s="3" t="s">
        <v>25</v>
      </c>
      <c r="B2" s="3" t="s">
        <v>57</v>
      </c>
      <c r="C2" s="4" t="str">
        <f>IFERROR(IMAGE("https://refuge.camp/_next/image?q=75&amp;url=https%3A%2F%2Fpub-48d6aa73c6444bd586149908aa4f3b05.r2.dev%2Fbivouac_matteo_corradini_thumbnail_1_1b36410b13.jpeg&amp;w=3840",4,92,160),"Photo indisponible")</f>
        <v/>
      </c>
      <c r="D2" s="3" t="s">
        <v>58</v>
      </c>
      <c r="E2" s="5">
        <v>2847.0</v>
      </c>
      <c r="F2" s="3" t="s">
        <v>59</v>
      </c>
      <c r="G2" s="5">
        <v>1665.0</v>
      </c>
      <c r="H2" s="3" t="s">
        <v>263</v>
      </c>
      <c r="I2" s="5">
        <v>1665.0</v>
      </c>
      <c r="J2" s="3" t="s">
        <v>60</v>
      </c>
      <c r="K2" s="5">
        <v>4.0</v>
      </c>
      <c r="L2" s="5">
        <v>1182.0</v>
      </c>
      <c r="M2" s="6">
        <v>5.0</v>
      </c>
      <c r="N2" s="6">
        <v>5.0</v>
      </c>
      <c r="O2" s="6">
        <v>3.0</v>
      </c>
      <c r="P2" s="6">
        <v>5.0</v>
      </c>
      <c r="Q2" s="6">
        <v>5.0</v>
      </c>
      <c r="R2" s="7">
        <f t="shared" ref="R2:R36" si="1">ROUND(AD2,0)</f>
        <v>4</v>
      </c>
      <c r="S2" s="6">
        <v>3.0</v>
      </c>
      <c r="T2" s="3" t="s">
        <v>424</v>
      </c>
      <c r="U2" s="3" t="s">
        <v>61</v>
      </c>
      <c r="V2" s="3" t="s">
        <v>62</v>
      </c>
      <c r="W2" s="4"/>
      <c r="X2" s="8" t="str">
        <f>HYPERLINK("https://www.google.com/maps/place/Bivacco+Corradini/data=!4m2!3m1!1s0x4789dfb8dc658bdd:0x6556901336c29628","Ouvrir Maps")</f>
        <v>Ouvrir Maps</v>
      </c>
      <c r="Y2" s="8" t="str">
        <f>HYPERLINK("https://refuge.camp/_next/image?q=75&amp;url=https%3A%2F%2Fpub-48d6aa73c6444bd586149908aa4f3b05.r2.dev%2Fbivouac_matteo_corradini_thumbnail_1_1b36410b13.jpeg&amp;w=3840","Photo HD")</f>
        <v>Photo HD</v>
      </c>
      <c r="Z2" s="4"/>
      <c r="AA2" s="4"/>
      <c r="AB2" s="3" t="s">
        <v>50</v>
      </c>
      <c r="AC2" s="3" t="s">
        <v>63</v>
      </c>
      <c r="AD2" s="9">
        <f t="shared" ref="AD2:AD36" si="2">MAX(0,MIN(5,ROUND(0.32*M2+0.12*N2+0.13*O2+0.16*P2+0.14*Q2+0.13*MAX(0,5-IFERROR(TIMEVALUE(SUBSTITUTE(J2,"h",":"))*24,0)*0.35-K2*0.2-L2/4000)-IF(S2&gt;=5,0.75,IF(S2&gt;=4,0.35,0)),2)))</f>
        <v>4.45</v>
      </c>
    </row>
    <row r="3" ht="86.25" customHeight="1">
      <c r="A3" s="3" t="s">
        <v>25</v>
      </c>
      <c r="B3" s="3" t="s">
        <v>83</v>
      </c>
      <c r="C3" s="4" t="str">
        <f>IFERROR(IMAGE("https://www.gedistatic.it/content/gnn/img/lastampa/2020/09/13/014654241-b07c9869-7be5-4a7b-b8ac-961a4beb3a07.jpg",4,92,160),"Photo indisponible")</f>
        <v/>
      </c>
      <c r="D3" s="3" t="s">
        <v>84</v>
      </c>
      <c r="E3" s="5">
        <v>2840.0</v>
      </c>
      <c r="F3" s="3" t="s">
        <v>85</v>
      </c>
      <c r="G3" s="5">
        <v>2000.0</v>
      </c>
      <c r="H3" s="3" t="s">
        <v>262</v>
      </c>
      <c r="I3" s="5">
        <v>1400.0</v>
      </c>
      <c r="J3" s="3" t="s">
        <v>86</v>
      </c>
      <c r="K3" s="5">
        <v>4.2</v>
      </c>
      <c r="L3" s="5">
        <v>1440.0</v>
      </c>
      <c r="M3" s="6">
        <v>5.0</v>
      </c>
      <c r="N3" s="6">
        <v>5.0</v>
      </c>
      <c r="O3" s="6">
        <v>4.0</v>
      </c>
      <c r="P3" s="6">
        <v>4.0</v>
      </c>
      <c r="Q3" s="6">
        <v>5.0</v>
      </c>
      <c r="R3" s="7">
        <f t="shared" si="1"/>
        <v>4</v>
      </c>
      <c r="S3" s="6">
        <v>3.0</v>
      </c>
      <c r="T3" s="3" t="s">
        <v>424</v>
      </c>
      <c r="U3" s="3" t="s">
        <v>87</v>
      </c>
      <c r="V3" s="3" t="s">
        <v>88</v>
      </c>
      <c r="W3" s="4"/>
      <c r="X3" s="8" t="str">
        <f>HYPERLINK("https://www.google.com/maps/place/Rifugio+Carmagnola+(Bivacco)/data=!4m2!3m1!1s0x12ccdd4ceb27d077:0xd10d57a15b0888bf","Ouvrir Maps")</f>
        <v>Ouvrir Maps</v>
      </c>
      <c r="Y3" s="8" t="str">
        <f>HYPERLINK("https://www.google.com/search?tbm=isch&amp;q=Rifugio+Carmagnola+%28Bivacco%29+refuge+bivouac+montagne+photo","Recherche photos")</f>
        <v>Recherche photos</v>
      </c>
      <c r="Z3" s="10" t="s">
        <v>89</v>
      </c>
      <c r="AA3" s="4"/>
      <c r="AB3" s="3" t="s">
        <v>81</v>
      </c>
      <c r="AC3" s="3" t="s">
        <v>90</v>
      </c>
      <c r="AD3" s="9">
        <f t="shared" si="2"/>
        <v>4.42</v>
      </c>
    </row>
    <row r="4" ht="86.25" customHeight="1">
      <c r="A4" s="3" t="s">
        <v>25</v>
      </c>
      <c r="B4" s="3" t="s">
        <v>76</v>
      </c>
      <c r="C4" s="8" t="str">
        <f>HYPERLINK("https://www.google.com/search?tbm=isch&amp;q=Refuge+des+Bouquetins+CAS+refuge+bivouac+montagne+photo","🔎 Rechercher photo")</f>
        <v>🔎 Rechercher photo</v>
      </c>
      <c r="D4" s="3" t="s">
        <v>27</v>
      </c>
      <c r="E4" s="5">
        <v>2980.0</v>
      </c>
      <c r="F4" s="3" t="s">
        <v>77</v>
      </c>
      <c r="G4" s="5">
        <v>1960.0</v>
      </c>
      <c r="H4" s="3" t="s">
        <v>146</v>
      </c>
      <c r="I4" s="5">
        <v>1960.0</v>
      </c>
      <c r="J4" s="3" t="s">
        <v>29</v>
      </c>
      <c r="K4" s="5">
        <v>4.0</v>
      </c>
      <c r="L4" s="5">
        <v>1020.0</v>
      </c>
      <c r="M4" s="6">
        <v>5.0</v>
      </c>
      <c r="N4" s="6">
        <v>5.0</v>
      </c>
      <c r="O4" s="6">
        <v>5.0</v>
      </c>
      <c r="P4" s="6">
        <v>4.0</v>
      </c>
      <c r="Q4" s="6">
        <v>5.0</v>
      </c>
      <c r="R4" s="7">
        <f t="shared" si="1"/>
        <v>4</v>
      </c>
      <c r="S4" s="6">
        <v>4.0</v>
      </c>
      <c r="T4" s="3" t="s">
        <v>424</v>
      </c>
      <c r="U4" s="3" t="s">
        <v>78</v>
      </c>
      <c r="V4" s="3" t="s">
        <v>79</v>
      </c>
      <c r="W4" s="4"/>
      <c r="X4" s="8" t="str">
        <f>HYPERLINK("https://www.google.com/maps/place/Refuge+des+Bouquetins+CAS/data=!4m2!3m1!1s0x478f2cd8262a6dad:0xc986f40f46bb483f","Ouvrir Maps")</f>
        <v>Ouvrir Maps</v>
      </c>
      <c r="Y4" s="8" t="str">
        <f>HYPERLINK("https://www.google.com/search?tbm=isch&amp;q=Refuge+des+Bouquetins+CAS+refuge+bivouac+montagne+photo","Recherche photos")</f>
        <v>Recherche photos</v>
      </c>
      <c r="Z4" s="10" t="s">
        <v>80</v>
      </c>
      <c r="AA4" s="4"/>
      <c r="AB4" s="3" t="s">
        <v>81</v>
      </c>
      <c r="AC4" s="3" t="s">
        <v>82</v>
      </c>
      <c r="AD4" s="9">
        <f t="shared" si="2"/>
        <v>4.14</v>
      </c>
    </row>
    <row r="5" ht="86.25" customHeight="1">
      <c r="A5" s="3" t="s">
        <v>25</v>
      </c>
      <c r="B5" s="3" t="s">
        <v>64</v>
      </c>
      <c r="C5" s="8" t="str">
        <f>HYPERLINK("https://www.google.com/search?tbm=isch&amp;q=rifugio+Vittorio+Raffaele+Leonesi+refuge+bivouac+montagne+photo","🔎 Rechercher photo")</f>
        <v>🔎 Rechercher photo</v>
      </c>
      <c r="D5" s="3" t="s">
        <v>65</v>
      </c>
      <c r="E5" s="5">
        <v>2900.0</v>
      </c>
      <c r="F5" s="3" t="s">
        <v>66</v>
      </c>
      <c r="G5" s="5">
        <v>1600.0</v>
      </c>
      <c r="H5" s="3" t="s">
        <v>315</v>
      </c>
      <c r="I5" s="5">
        <v>1060.0</v>
      </c>
      <c r="J5" s="3" t="s">
        <v>67</v>
      </c>
      <c r="K5" s="5">
        <v>6.5</v>
      </c>
      <c r="L5" s="5">
        <v>1840.0</v>
      </c>
      <c r="M5" s="6">
        <v>5.0</v>
      </c>
      <c r="N5" s="6">
        <v>5.0</v>
      </c>
      <c r="O5" s="6">
        <v>5.0</v>
      </c>
      <c r="P5" s="6">
        <v>4.0</v>
      </c>
      <c r="Q5" s="6">
        <v>5.0</v>
      </c>
      <c r="R5" s="7">
        <f t="shared" si="1"/>
        <v>4</v>
      </c>
      <c r="S5" s="6">
        <v>4.0</v>
      </c>
      <c r="T5" s="3" t="s">
        <v>431</v>
      </c>
      <c r="U5" s="3" t="s">
        <v>68</v>
      </c>
      <c r="V5" s="3" t="s">
        <v>69</v>
      </c>
      <c r="W5" s="4"/>
      <c r="X5" s="8" t="str">
        <f>HYPERLINK("https://www.google.com/maps/place/rifugio+Vittorio+Raffaele+Leonesi/data=!4m2!3m1!1s0x478900e3afa816c5:0x1ece3548ef3de5a8","Ouvrir Maps")</f>
        <v>Ouvrir Maps</v>
      </c>
      <c r="Y5" s="8" t="str">
        <f>HYPERLINK("https://www.google.com/search?tbm=isch&amp;q=rifugio+Vittorio+Raffaele+Leonesi+refuge+bivouac+montagne+photo","Recherche photos")</f>
        <v>Recherche photos</v>
      </c>
      <c r="Z5" s="4"/>
      <c r="AA5" s="4"/>
      <c r="AB5" s="3" t="s">
        <v>50</v>
      </c>
      <c r="AC5" s="3" t="s">
        <v>70</v>
      </c>
      <c r="AD5" s="9">
        <f t="shared" si="2"/>
        <v>4.1</v>
      </c>
    </row>
    <row r="6" ht="86.25" customHeight="1">
      <c r="A6" s="3" t="s">
        <v>25</v>
      </c>
      <c r="B6" s="3" t="s">
        <v>129</v>
      </c>
      <c r="C6" s="8" t="str">
        <f>HYPERLINK("https://www.google.com/search?tbm=isch&amp;q=Bivacco+Rivolta+refuge+bivouac+montagne+photo","🔎 Rechercher photo")</f>
        <v>🔎 Rechercher photo</v>
      </c>
      <c r="D6" s="3" t="s">
        <v>130</v>
      </c>
      <c r="E6" s="5">
        <v>2906.0</v>
      </c>
      <c r="F6" s="3" t="s">
        <v>131</v>
      </c>
      <c r="G6" s="5">
        <v>2050.0</v>
      </c>
      <c r="H6" s="3" t="s">
        <v>309</v>
      </c>
      <c r="I6" s="5">
        <v>2050.0</v>
      </c>
      <c r="J6" s="3" t="s">
        <v>132</v>
      </c>
      <c r="K6" s="5">
        <v>4.0</v>
      </c>
      <c r="L6" s="5">
        <v>856.0</v>
      </c>
      <c r="M6" s="6">
        <v>5.0</v>
      </c>
      <c r="N6" s="6">
        <v>4.0</v>
      </c>
      <c r="O6" s="6">
        <v>4.0</v>
      </c>
      <c r="P6" s="6">
        <v>4.0</v>
      </c>
      <c r="Q6" s="6">
        <v>5.0</v>
      </c>
      <c r="R6" s="7">
        <f t="shared" si="1"/>
        <v>4</v>
      </c>
      <c r="S6" s="6">
        <v>4.0</v>
      </c>
      <c r="T6" s="3" t="s">
        <v>431</v>
      </c>
      <c r="U6" s="3" t="s">
        <v>133</v>
      </c>
      <c r="V6" s="3" t="s">
        <v>134</v>
      </c>
      <c r="W6" s="4"/>
      <c r="X6" s="8" t="str">
        <f>HYPERLINK("https://www.google.com/maps/place/Bivacco+Rivolta/data=!4m2!3m1!1s0x4788cf94d7e7f63b:0x2b2712aa1870cc69","Ouvrir Maps")</f>
        <v>Ouvrir Maps</v>
      </c>
      <c r="Y6" s="8" t="str">
        <f>HYPERLINK("https://www.google.com/search?tbm=isch&amp;q=Bivacco+Rivolta+refuge+bivouac+montagne+photo","Recherche photos")</f>
        <v>Recherche photos</v>
      </c>
      <c r="Z6" s="4"/>
      <c r="AA6" s="4"/>
      <c r="AB6" s="3" t="s">
        <v>50</v>
      </c>
      <c r="AC6" s="3" t="s">
        <v>135</v>
      </c>
      <c r="AD6" s="9">
        <f t="shared" si="2"/>
        <v>3.94</v>
      </c>
    </row>
    <row r="7" ht="86.25" customHeight="1">
      <c r="A7" s="3" t="s">
        <v>25</v>
      </c>
      <c r="B7" s="3" t="s">
        <v>185</v>
      </c>
      <c r="C7" s="8" t="str">
        <f>HYPERLINK("https://www.google.com/search?tbm=isch&amp;q=Bivacco+Penne+Nere+refuge+bivouac+montagne+photo","🔎 Rechercher photo")</f>
        <v>🔎 Rechercher photo</v>
      </c>
      <c r="D7" s="3" t="s">
        <v>186</v>
      </c>
      <c r="E7" s="5">
        <v>2730.0</v>
      </c>
      <c r="F7" s="3" t="s">
        <v>187</v>
      </c>
      <c r="G7" s="5">
        <v>1630.0</v>
      </c>
      <c r="H7" s="3" t="s">
        <v>300</v>
      </c>
      <c r="I7" s="5">
        <v>1020.0</v>
      </c>
      <c r="J7" s="3" t="s">
        <v>67</v>
      </c>
      <c r="K7" s="5">
        <v>4.7</v>
      </c>
      <c r="L7" s="5">
        <v>1710.0</v>
      </c>
      <c r="M7" s="6">
        <v>4.0</v>
      </c>
      <c r="N7" s="6">
        <v>4.0</v>
      </c>
      <c r="O7" s="6">
        <v>4.0</v>
      </c>
      <c r="P7" s="6">
        <v>4.0</v>
      </c>
      <c r="Q7" s="6">
        <v>5.0</v>
      </c>
      <c r="R7" s="7">
        <f t="shared" si="1"/>
        <v>4</v>
      </c>
      <c r="S7" s="6">
        <v>3.0</v>
      </c>
      <c r="T7" s="3" t="s">
        <v>424</v>
      </c>
      <c r="U7" s="3" t="s">
        <v>188</v>
      </c>
      <c r="V7" s="3" t="s">
        <v>189</v>
      </c>
      <c r="W7" s="4"/>
      <c r="X7" s="8" t="str">
        <f>HYPERLINK("https://www.google.com/maps/place/Bivacco+Penne+Nere/data=!4m2!3m1!1s0x4788d86c7686f131:0xbc680ca6b8181d43","Ouvrir Maps")</f>
        <v>Ouvrir Maps</v>
      </c>
      <c r="Y7" s="8" t="str">
        <f>HYPERLINK("https://www.google.com/search?tbm=isch&amp;q=Bivacco+Penne+Nere+refuge+bivouac+montagne+photo","Recherche photos")</f>
        <v>Recherche photos</v>
      </c>
      <c r="Z7" s="4"/>
      <c r="AA7" s="4"/>
      <c r="AB7" s="3" t="s">
        <v>50</v>
      </c>
      <c r="AC7" s="3" t="s">
        <v>190</v>
      </c>
      <c r="AD7" s="9">
        <f t="shared" si="2"/>
        <v>3.93</v>
      </c>
    </row>
    <row r="8" ht="86.25" customHeight="1">
      <c r="A8" s="3" t="s">
        <v>25</v>
      </c>
      <c r="B8" s="3" t="s">
        <v>123</v>
      </c>
      <c r="C8" s="4" t="str">
        <f>IFERROR(IMAGE("https://www.imuntagnin.it/gallery/20251012_112034_mus2mos8.jpg",4,92,160),"Photo indisponible")</f>
        <v/>
      </c>
      <c r="D8" s="3" t="s">
        <v>58</v>
      </c>
      <c r="E8" s="5">
        <v>2995.0</v>
      </c>
      <c r="F8" s="3" t="s">
        <v>124</v>
      </c>
      <c r="G8" s="5">
        <v>2165.0</v>
      </c>
      <c r="H8" s="3" t="s">
        <v>339</v>
      </c>
      <c r="I8" s="5">
        <v>1620.0</v>
      </c>
      <c r="J8" s="3" t="s">
        <v>125</v>
      </c>
      <c r="K8" s="5">
        <v>5.6</v>
      </c>
      <c r="L8" s="5">
        <v>1375.0</v>
      </c>
      <c r="M8" s="6">
        <v>5.0</v>
      </c>
      <c r="N8" s="6">
        <v>4.0</v>
      </c>
      <c r="O8" s="6">
        <v>4.0</v>
      </c>
      <c r="P8" s="6">
        <v>4.0</v>
      </c>
      <c r="Q8" s="6">
        <v>5.0</v>
      </c>
      <c r="R8" s="7">
        <f t="shared" si="1"/>
        <v>4</v>
      </c>
      <c r="S8" s="6">
        <v>4.0</v>
      </c>
      <c r="T8" s="3" t="s">
        <v>424</v>
      </c>
      <c r="U8" s="3" t="s">
        <v>126</v>
      </c>
      <c r="V8" s="3" t="s">
        <v>127</v>
      </c>
      <c r="W8" s="4"/>
      <c r="X8" s="8" t="str">
        <f>HYPERLINK("https://www.google.com/maps/place/Bivacco+Sommeiller/data=!4m2!3m1!1s0x4789bfa2b6663c1d:0xe1df56a0cd234506","Ouvrir Maps")</f>
        <v>Ouvrir Maps</v>
      </c>
      <c r="Y8" s="8" t="str">
        <f>HYPERLINK("https://www.google.com/search?tbm=isch&amp;q=Bivacco+Sommeiller+refuge+bivouac+montagne+photo","Recherche photos")</f>
        <v>Recherche photos</v>
      </c>
      <c r="Z8" s="10" t="s">
        <v>128</v>
      </c>
      <c r="AA8" s="4"/>
      <c r="AB8" s="3" t="s">
        <v>81</v>
      </c>
      <c r="AC8" s="3" t="s">
        <v>63</v>
      </c>
      <c r="AD8" s="9">
        <f t="shared" si="2"/>
        <v>3.91</v>
      </c>
    </row>
    <row r="9" ht="86.25" customHeight="1">
      <c r="A9" s="3" t="s">
        <v>25</v>
      </c>
      <c r="B9" s="3" t="s">
        <v>136</v>
      </c>
      <c r="C9" s="4" t="str">
        <f>IFERROR(IMAGE("https://bobine.tv/app/uploads/2023/01/BIVACCO-PASSERA-2.jpg",4,92,160),"Photo indisponible")</f>
        <v/>
      </c>
      <c r="D9" s="3" t="s">
        <v>137</v>
      </c>
      <c r="E9" s="5">
        <v>3175.0</v>
      </c>
      <c r="F9" s="3" t="s">
        <v>138</v>
      </c>
      <c r="G9" s="5">
        <v>2350.0</v>
      </c>
      <c r="H9" s="3" t="s">
        <v>299</v>
      </c>
      <c r="I9" s="5">
        <v>1825.0</v>
      </c>
      <c r="J9" s="3" t="s">
        <v>139</v>
      </c>
      <c r="K9" s="5">
        <v>6.0</v>
      </c>
      <c r="L9" s="5">
        <v>1350.0</v>
      </c>
      <c r="M9" s="6">
        <v>5.0</v>
      </c>
      <c r="N9" s="6">
        <v>4.0</v>
      </c>
      <c r="O9" s="6">
        <v>4.0</v>
      </c>
      <c r="P9" s="6">
        <v>4.0</v>
      </c>
      <c r="Q9" s="6">
        <v>5.0</v>
      </c>
      <c r="R9" s="7">
        <f t="shared" si="1"/>
        <v>4</v>
      </c>
      <c r="S9" s="6">
        <v>4.0</v>
      </c>
      <c r="T9" s="3" t="s">
        <v>431</v>
      </c>
      <c r="U9" s="3" t="s">
        <v>140</v>
      </c>
      <c r="V9" s="3" t="s">
        <v>141</v>
      </c>
      <c r="W9" s="4"/>
      <c r="X9" s="8" t="str">
        <f>HYPERLINK("https://www.google.com/maps/place/Bivacco+Passera+all%E2%80%99Alta+Luce/data=!4m2!3m1!1s0x4788b300528c3fa7:0xc0da6a149cdd2634","Ouvrir Maps")</f>
        <v>Ouvrir Maps</v>
      </c>
      <c r="Y9" s="8" t="str">
        <f>HYPERLINK("https://www.google.com/search?tbm=isch&amp;q=Bivacco+Passera+all%E2%80%99Alta+Luce+refuge+bivouac+montagne+photo","Recherche photos")</f>
        <v>Recherche photos</v>
      </c>
      <c r="Z9" s="10" t="s">
        <v>142</v>
      </c>
      <c r="AA9" s="4"/>
      <c r="AB9" s="3" t="s">
        <v>81</v>
      </c>
      <c r="AC9" s="3" t="s">
        <v>143</v>
      </c>
      <c r="AD9" s="9">
        <f t="shared" si="2"/>
        <v>3.86</v>
      </c>
    </row>
    <row r="10" ht="86.25" customHeight="1">
      <c r="A10" s="3" t="s">
        <v>25</v>
      </c>
      <c r="B10" s="3" t="s">
        <v>201</v>
      </c>
      <c r="C10" s="4" t="str">
        <f>IFERROR(IMAGE("https://cdn.prod.rexby.com/image/6d46892854d1422291b303faa3669de5",4,92,160),"Photo indisponible")</f>
        <v/>
      </c>
      <c r="D10" s="3" t="s">
        <v>202</v>
      </c>
      <c r="E10" s="5">
        <v>2670.0</v>
      </c>
      <c r="F10" s="3" t="s">
        <v>203</v>
      </c>
      <c r="G10" s="5">
        <v>1600.0</v>
      </c>
      <c r="H10" s="3" t="s">
        <v>203</v>
      </c>
      <c r="I10" s="5">
        <v>1600.0</v>
      </c>
      <c r="J10" s="3" t="s">
        <v>204</v>
      </c>
      <c r="K10" s="5">
        <v>3.5</v>
      </c>
      <c r="L10" s="5">
        <v>1070.0</v>
      </c>
      <c r="M10" s="6">
        <v>4.0</v>
      </c>
      <c r="N10" s="6">
        <v>4.0</v>
      </c>
      <c r="O10" s="6">
        <v>3.0</v>
      </c>
      <c r="P10" s="6">
        <v>4.0</v>
      </c>
      <c r="Q10" s="6">
        <v>5.0</v>
      </c>
      <c r="R10" s="7">
        <f t="shared" si="1"/>
        <v>4</v>
      </c>
      <c r="S10" s="6">
        <v>3.0</v>
      </c>
      <c r="T10" s="3" t="s">
        <v>424</v>
      </c>
      <c r="U10" s="3" t="s">
        <v>205</v>
      </c>
      <c r="V10" s="3" t="s">
        <v>206</v>
      </c>
      <c r="W10" s="4"/>
      <c r="X10" s="8" t="str">
        <f>HYPERLINK("https://www.google.com/maps/place/Bivouac+du+Dolent+CAS/data=!4m2!3m1!1s0x478934330ced8179:0x240c8ddefb767b9c","Ouvrir Maps")</f>
        <v>Ouvrir Maps</v>
      </c>
      <c r="Y10" s="8" t="str">
        <f>HYPERLINK("https://cdn.prod.rexby.com/image/6d46892854d1422291b303faa3669de5","Photo HD")</f>
        <v>Photo HD</v>
      </c>
      <c r="Z10" s="4"/>
      <c r="AA10" s="4"/>
      <c r="AB10" s="3" t="s">
        <v>32</v>
      </c>
      <c r="AC10" s="3" t="s">
        <v>63</v>
      </c>
      <c r="AD10" s="9">
        <f t="shared" si="2"/>
        <v>3.82</v>
      </c>
    </row>
    <row r="11" ht="86.25" customHeight="1">
      <c r="A11" s="3" t="s">
        <v>25</v>
      </c>
      <c r="B11" s="3" t="s">
        <v>246</v>
      </c>
      <c r="C11" s="8" t="str">
        <f>HYPERLINK("https://www.google.com/search?tbm=isch&amp;q=Refuge+Nacamuli+au+col+Collon+refuge+bivouac+montagne+photo","🔎 Rechercher photo")</f>
        <v>🔎 Rechercher photo</v>
      </c>
      <c r="D11" s="3" t="s">
        <v>151</v>
      </c>
      <c r="E11" s="5">
        <v>2818.0</v>
      </c>
      <c r="F11" s="3" t="s">
        <v>247</v>
      </c>
      <c r="G11" s="5">
        <v>1960.0</v>
      </c>
      <c r="H11" s="3" t="s">
        <v>281</v>
      </c>
      <c r="I11" s="5">
        <v>1600.0</v>
      </c>
      <c r="J11" s="3" t="s">
        <v>153</v>
      </c>
      <c r="K11" s="5">
        <v>5.0</v>
      </c>
      <c r="L11" s="5">
        <v>1218.0</v>
      </c>
      <c r="M11" s="6">
        <v>4.0</v>
      </c>
      <c r="N11" s="6">
        <v>4.0</v>
      </c>
      <c r="O11" s="6">
        <v>3.0</v>
      </c>
      <c r="P11" s="6">
        <v>4.0</v>
      </c>
      <c r="Q11" s="6">
        <v>5.0</v>
      </c>
      <c r="R11" s="7">
        <f t="shared" si="1"/>
        <v>4</v>
      </c>
      <c r="S11" s="6">
        <v>3.0</v>
      </c>
      <c r="T11" s="3" t="s">
        <v>427</v>
      </c>
      <c r="U11" s="3" t="s">
        <v>248</v>
      </c>
      <c r="V11" s="3" t="s">
        <v>249</v>
      </c>
      <c r="W11" s="4"/>
      <c r="X11" s="8" t="str">
        <f>HYPERLINK("https://www.google.com/maps/place/Refuge+Nacamuli+au+col+Collon/data=!4m2!3m1!1s0x4788d3412c1b0df5:0xab53ac9a8b45c9f1","Ouvrir Maps")</f>
        <v>Ouvrir Maps</v>
      </c>
      <c r="Y11" s="8" t="str">
        <f>HYPERLINK("https://www.google.com/search?tbm=isch&amp;q=Refuge+Nacamuli+au+col+Collon+refuge+bivouac+montagne+photo","Recherche photos")</f>
        <v>Recherche photos</v>
      </c>
      <c r="Z11" s="4"/>
      <c r="AA11" s="4"/>
      <c r="AB11" s="3" t="s">
        <v>50</v>
      </c>
      <c r="AC11" s="3" t="s">
        <v>250</v>
      </c>
      <c r="AD11" s="9">
        <f t="shared" si="2"/>
        <v>3.8</v>
      </c>
    </row>
    <row r="12" ht="86.25" customHeight="1">
      <c r="A12" s="3" t="s">
        <v>25</v>
      </c>
      <c r="B12" s="3" t="s">
        <v>264</v>
      </c>
      <c r="C12" s="4" t="str">
        <f>IFERROR(IMAGE("https://www.areeprotetteossola.it/images/Camposecco.jpg",4,92,160),"Photo indisponible")</f>
        <v/>
      </c>
      <c r="D12" s="3" t="s">
        <v>92</v>
      </c>
      <c r="E12" s="5">
        <v>2335.0</v>
      </c>
      <c r="F12" s="3" t="s">
        <v>158</v>
      </c>
      <c r="G12" s="5">
        <v>1350.0</v>
      </c>
      <c r="H12" s="3" t="s">
        <v>265</v>
      </c>
      <c r="I12" s="5">
        <v>1098.0</v>
      </c>
      <c r="J12" s="3" t="s">
        <v>94</v>
      </c>
      <c r="K12" s="5">
        <v>3.7</v>
      </c>
      <c r="L12" s="5">
        <v>1237.0</v>
      </c>
      <c r="M12" s="6">
        <v>3.0</v>
      </c>
      <c r="N12" s="6">
        <v>4.0</v>
      </c>
      <c r="O12" s="6">
        <v>4.0</v>
      </c>
      <c r="P12" s="6">
        <v>5.0</v>
      </c>
      <c r="Q12" s="6">
        <v>5.0</v>
      </c>
      <c r="R12" s="7">
        <f t="shared" si="1"/>
        <v>4</v>
      </c>
      <c r="S12" s="6">
        <v>2.0</v>
      </c>
      <c r="T12" s="3" t="s">
        <v>431</v>
      </c>
      <c r="U12" s="3" t="s">
        <v>266</v>
      </c>
      <c r="V12" s="3" t="s">
        <v>267</v>
      </c>
      <c r="W12" s="8" t="str">
        <f>HYPERLINK("https://rifugi.cai.it/shelters/921202202","Site officiel")</f>
        <v>Site officiel</v>
      </c>
      <c r="X12" s="8" t="str">
        <f>HYPERLINK("https://www.google.com/maps/place/Bivacco+Camposecco/data=!4m2!3m1!1s0x478f51169dc9179d:0x770fe9e90a0f46cd","Ouvrir Maps")</f>
        <v>Ouvrir Maps</v>
      </c>
      <c r="Y12" s="8" t="str">
        <f>HYPERLINK("https://www.areeprotetteossola.it/images/Camposecco.jpg","Photo HD")</f>
        <v>Photo HD</v>
      </c>
      <c r="Z12" s="10" t="s">
        <v>268</v>
      </c>
      <c r="AA12" s="4"/>
      <c r="AB12" s="3" t="s">
        <v>81</v>
      </c>
      <c r="AC12" s="3" t="s">
        <v>269</v>
      </c>
      <c r="AD12" s="9">
        <f t="shared" si="2"/>
        <v>3.75</v>
      </c>
    </row>
    <row r="13" ht="86.25" customHeight="1">
      <c r="A13" s="3" t="s">
        <v>25</v>
      </c>
      <c r="B13" s="3" t="s">
        <v>223</v>
      </c>
      <c r="C13" s="8" t="str">
        <f>HYPERLINK("https://www.google.com/search?tbm=isch&amp;q=Bivacco+Elio+Bonfante+alle+Camoscere+refuge+bivouac+montagne+photo","🔎 Rechercher photo")</f>
        <v>🔎 Rechercher photo</v>
      </c>
      <c r="D13" s="3" t="s">
        <v>224</v>
      </c>
      <c r="E13" s="5">
        <v>2634.0</v>
      </c>
      <c r="F13" s="3" t="s">
        <v>225</v>
      </c>
      <c r="G13" s="5">
        <v>1790.0</v>
      </c>
      <c r="H13" s="3" t="s">
        <v>271</v>
      </c>
      <c r="I13" s="5">
        <v>1790.0</v>
      </c>
      <c r="J13" s="3" t="s">
        <v>226</v>
      </c>
      <c r="K13" s="5">
        <v>3.5</v>
      </c>
      <c r="L13" s="5">
        <v>844.0</v>
      </c>
      <c r="M13" s="6">
        <v>4.0</v>
      </c>
      <c r="N13" s="6">
        <v>4.0</v>
      </c>
      <c r="O13" s="6">
        <v>3.0</v>
      </c>
      <c r="P13" s="6">
        <v>4.0</v>
      </c>
      <c r="Q13" s="6">
        <v>4.0</v>
      </c>
      <c r="R13" s="7">
        <f t="shared" si="1"/>
        <v>4</v>
      </c>
      <c r="S13" s="6">
        <v>2.0</v>
      </c>
      <c r="T13" s="3" t="s">
        <v>424</v>
      </c>
      <c r="U13" s="3" t="s">
        <v>227</v>
      </c>
      <c r="V13" s="3" t="s">
        <v>228</v>
      </c>
      <c r="W13" s="4"/>
      <c r="X13" s="8" t="str">
        <f>HYPERLINK("https://www.google.com/maps/place/Bivacco+Elio+Bonfante+alle+Camoscere/data=!4m2!3m1!1s0x12ccdf9fbf01009d:0xe9fae0dde281c570","Ouvrir Maps")</f>
        <v>Ouvrir Maps</v>
      </c>
      <c r="Y13" s="8" t="str">
        <f>HYPERLINK("https://www.google.com/search?tbm=isch&amp;q=Bivacco+Elio+Bonfante+alle+Camoscere+refuge+bivouac+montagne+photo","Recherche photos")</f>
        <v>Recherche photos</v>
      </c>
      <c r="Z13" s="4"/>
      <c r="AA13" s="4"/>
      <c r="AB13" s="3" t="s">
        <v>50</v>
      </c>
      <c r="AC13" s="3" t="s">
        <v>229</v>
      </c>
      <c r="AD13" s="9">
        <f t="shared" si="2"/>
        <v>3.75</v>
      </c>
    </row>
    <row r="14" ht="86.25" customHeight="1">
      <c r="A14" s="3" t="s">
        <v>25</v>
      </c>
      <c r="B14" s="3" t="s">
        <v>161</v>
      </c>
      <c r="C14" s="4" t="str">
        <f>IFERROR(IMAGE("https://geotrek-admin.ecrins-parcnational.fr/media/paperclip/tourism_touristiccontent/1622/9528150.jpg",4,92,160),"Photo indisponible")</f>
        <v/>
      </c>
      <c r="D14" s="3" t="s">
        <v>162</v>
      </c>
      <c r="E14" s="5">
        <v>2550.0</v>
      </c>
      <c r="F14" s="3" t="s">
        <v>163</v>
      </c>
      <c r="G14" s="5">
        <v>1407.0</v>
      </c>
      <c r="H14" s="3" t="s">
        <v>270</v>
      </c>
      <c r="I14" s="5">
        <v>1144.0</v>
      </c>
      <c r="J14" s="3" t="s">
        <v>86</v>
      </c>
      <c r="K14" s="5">
        <v>4.8</v>
      </c>
      <c r="L14" s="5">
        <v>1406.0</v>
      </c>
      <c r="M14" s="6">
        <v>4.0</v>
      </c>
      <c r="N14" s="6">
        <v>5.0</v>
      </c>
      <c r="O14" s="6">
        <v>4.0</v>
      </c>
      <c r="P14" s="6">
        <v>4.0</v>
      </c>
      <c r="Q14" s="6">
        <v>5.0</v>
      </c>
      <c r="R14" s="7">
        <f t="shared" si="1"/>
        <v>4</v>
      </c>
      <c r="S14" s="6">
        <v>4.0</v>
      </c>
      <c r="T14" s="3" t="s">
        <v>427</v>
      </c>
      <c r="U14" s="3" t="s">
        <v>164</v>
      </c>
      <c r="V14" s="3" t="s">
        <v>165</v>
      </c>
      <c r="W14" s="4"/>
      <c r="X14" s="8" t="str">
        <f>HYPERLINK("https://www.google.com/maps/place/Refuge+Bivouac+de+Chalance/data=!4m2!3m1!1s0x478a080923a59a67:0x297c7a8b6d203245","Ouvrir Maps")</f>
        <v>Ouvrir Maps</v>
      </c>
      <c r="Y14" s="8" t="str">
        <f>HYPERLINK("https://www.google.com/search?tbm=isch&amp;q=Refuge+Bivouac+de+Chalance+refuge+bivouac+montagne+photo","Recherche photos")</f>
        <v>Recherche photos</v>
      </c>
      <c r="Z14" s="10" t="s">
        <v>166</v>
      </c>
      <c r="AA14" s="4"/>
      <c r="AB14" s="3" t="s">
        <v>81</v>
      </c>
      <c r="AC14" s="3" t="s">
        <v>63</v>
      </c>
      <c r="AD14" s="9">
        <f t="shared" si="2"/>
        <v>3.74</v>
      </c>
    </row>
    <row r="15" ht="86.25" customHeight="1">
      <c r="A15" s="3" t="s">
        <v>25</v>
      </c>
      <c r="B15" s="3" t="s">
        <v>273</v>
      </c>
      <c r="C15" s="8" t="str">
        <f>HYPERLINK("https://www.google.com/search?tbm=isch&amp;q=Bivacco+Menabreaz+refuge+bivouac+montagne+photo","🔎 Rechercher photo")</f>
        <v>🔎 Rechercher photo</v>
      </c>
      <c r="D15" s="3" t="s">
        <v>274</v>
      </c>
      <c r="E15" s="5">
        <v>2546.0</v>
      </c>
      <c r="F15" s="3" t="s">
        <v>275</v>
      </c>
      <c r="G15" s="5">
        <v>1040.0</v>
      </c>
      <c r="H15" s="3" t="s">
        <v>275</v>
      </c>
      <c r="I15" s="5">
        <v>1040.0</v>
      </c>
      <c r="J15" s="3" t="s">
        <v>73</v>
      </c>
      <c r="K15" s="5">
        <v>4.5</v>
      </c>
      <c r="L15" s="5">
        <v>1505.0</v>
      </c>
      <c r="M15" s="6">
        <v>4.0</v>
      </c>
      <c r="N15" s="6">
        <v>5.0</v>
      </c>
      <c r="O15" s="6">
        <v>4.0</v>
      </c>
      <c r="P15" s="6">
        <v>4.0</v>
      </c>
      <c r="Q15" s="6">
        <v>5.0</v>
      </c>
      <c r="R15" s="7">
        <f t="shared" si="1"/>
        <v>4</v>
      </c>
      <c r="S15" s="6">
        <v>4.0</v>
      </c>
      <c r="T15" s="3" t="s">
        <v>432</v>
      </c>
      <c r="U15" s="3" t="s">
        <v>276</v>
      </c>
      <c r="V15" s="3" t="s">
        <v>277</v>
      </c>
      <c r="W15" s="4"/>
      <c r="X15" s="8" t="str">
        <f>HYPERLINK("https://www.google.com/maps/place/Bivacco+Menabreaz/data=!4m2!3m1!1s0x4788de75ad11271b:0xae38f4cae8ed99ae","Ouvrir Maps")</f>
        <v>Ouvrir Maps</v>
      </c>
      <c r="Y15" s="8" t="str">
        <f>HYPERLINK("https://www.google.com/search?tbm=isch&amp;q=Bivacco+Menabreaz+refuge+bivouac+montagne+photo","Recherche photos")</f>
        <v>Recherche photos</v>
      </c>
      <c r="Z15" s="10" t="s">
        <v>278</v>
      </c>
      <c r="AA15" s="4"/>
      <c r="AB15" s="3" t="s">
        <v>50</v>
      </c>
      <c r="AC15" s="3" t="s">
        <v>279</v>
      </c>
      <c r="AD15" s="9">
        <f t="shared" si="2"/>
        <v>3.71</v>
      </c>
    </row>
    <row r="16" ht="86.25" customHeight="1">
      <c r="A16" s="3" t="s">
        <v>25</v>
      </c>
      <c r="B16" s="3" t="s">
        <v>236</v>
      </c>
      <c r="C16" s="4" t="str">
        <f>IFERROR(IMAGE("https://d2exd72xrrp1s7.cloudfront.net/www/000/1k6/xu/xuom17k3twe614r930nr4i3tx48fsdapo-uhi51808637/0?crop=true&amp;height=576&amp;width=768",4,92,160),"Photo indisponible")</f>
        <v/>
      </c>
      <c r="D16" s="3" t="s">
        <v>237</v>
      </c>
      <c r="E16" s="5">
        <v>2585.0</v>
      </c>
      <c r="F16" s="3" t="s">
        <v>238</v>
      </c>
      <c r="G16" s="5">
        <v>1889.0</v>
      </c>
      <c r="H16" s="3" t="s">
        <v>272</v>
      </c>
      <c r="I16" s="5">
        <v>1630.0</v>
      </c>
      <c r="J16" s="3" t="s">
        <v>73</v>
      </c>
      <c r="K16" s="5">
        <v>4.2</v>
      </c>
      <c r="L16" s="5">
        <v>955.0</v>
      </c>
      <c r="M16" s="6">
        <v>4.0</v>
      </c>
      <c r="N16" s="6">
        <v>4.0</v>
      </c>
      <c r="O16" s="6">
        <v>3.0</v>
      </c>
      <c r="P16" s="6">
        <v>4.0</v>
      </c>
      <c r="Q16" s="6">
        <v>4.0</v>
      </c>
      <c r="R16" s="7">
        <f t="shared" si="1"/>
        <v>4</v>
      </c>
      <c r="S16" s="6">
        <v>2.0</v>
      </c>
      <c r="T16" s="3" t="s">
        <v>426</v>
      </c>
      <c r="U16" s="3" t="s">
        <v>239</v>
      </c>
      <c r="V16" s="3" t="s">
        <v>240</v>
      </c>
      <c r="W16" s="4"/>
      <c r="X16" s="8" t="str">
        <f>HYPERLINK("https://www.google.com/maps/place/Bivacco+Reboulaz/data=!4m2!3m1!1s0x4788d1a3a7704cdf:0xfd9e66a5ad9bea2a","Ouvrir Maps")</f>
        <v>Ouvrir Maps</v>
      </c>
      <c r="Y16" s="8" t="str">
        <f>HYPERLINK("https://www.google.com/search?tbm=isch&amp;q=Bivacco+Reboulaz+refuge+bivouac+montagne+photo","Recherche photos")</f>
        <v>Recherche photos</v>
      </c>
      <c r="Z16" s="10" t="s">
        <v>241</v>
      </c>
      <c r="AA16" s="4"/>
      <c r="AB16" s="3" t="s">
        <v>81</v>
      </c>
      <c r="AC16" s="3" t="s">
        <v>63</v>
      </c>
      <c r="AD16" s="9">
        <f t="shared" si="2"/>
        <v>3.7</v>
      </c>
    </row>
    <row r="17" ht="86.25" customHeight="1">
      <c r="A17" s="3" t="s">
        <v>25</v>
      </c>
      <c r="B17" s="3" t="s">
        <v>242</v>
      </c>
      <c r="C17" s="8" t="str">
        <f>HYPERLINK("https://www.google.com/search?tbm=isch&amp;q=Bivacco+Regondi-Gavazzi+refuge+bivouac+montagne+photo","🔎 Rechercher photo")</f>
        <v>🔎 Rechercher photo</v>
      </c>
      <c r="D17" s="3" t="s">
        <v>151</v>
      </c>
      <c r="E17" s="5">
        <v>2595.0</v>
      </c>
      <c r="F17" s="3" t="s">
        <v>152</v>
      </c>
      <c r="G17" s="5">
        <v>1540.0</v>
      </c>
      <c r="H17" s="3" t="s">
        <v>280</v>
      </c>
      <c r="I17" s="5">
        <v>1350.0</v>
      </c>
      <c r="J17" s="3" t="s">
        <v>153</v>
      </c>
      <c r="K17" s="5">
        <v>3.5</v>
      </c>
      <c r="L17" s="5">
        <v>1245.0</v>
      </c>
      <c r="M17" s="6">
        <v>4.0</v>
      </c>
      <c r="N17" s="6">
        <v>4.0</v>
      </c>
      <c r="O17" s="6">
        <v>3.0</v>
      </c>
      <c r="P17" s="6">
        <v>4.0</v>
      </c>
      <c r="Q17" s="6">
        <v>4.0</v>
      </c>
      <c r="R17" s="7">
        <f t="shared" si="1"/>
        <v>4</v>
      </c>
      <c r="S17" s="6">
        <v>3.0</v>
      </c>
      <c r="T17" s="3" t="s">
        <v>426</v>
      </c>
      <c r="U17" s="3" t="s">
        <v>243</v>
      </c>
      <c r="V17" s="3" t="s">
        <v>244</v>
      </c>
      <c r="W17" s="4"/>
      <c r="X17" s="8" t="str">
        <f>HYPERLINK("https://www.google.com/maps/place/Bivacco+Regondi-Gavazzi/data=!4m2!3m1!1s0x478929bdc1ff8ab7:0xcae5e5d66ffe1131","Ouvrir Maps")</f>
        <v>Ouvrir Maps</v>
      </c>
      <c r="Y17" s="8" t="str">
        <f>HYPERLINK("https://www.google.com/search?tbm=isch&amp;q=Bivacco+Regondi-Gavazzi+refuge+bivouac+montagne+photo","Recherche photos")</f>
        <v>Recherche photos</v>
      </c>
      <c r="Z17" s="4"/>
      <c r="AA17" s="4"/>
      <c r="AB17" s="3" t="s">
        <v>50</v>
      </c>
      <c r="AC17" s="3" t="s">
        <v>245</v>
      </c>
      <c r="AD17" s="9">
        <f t="shared" si="2"/>
        <v>3.69</v>
      </c>
    </row>
    <row r="18" ht="86.25" customHeight="1">
      <c r="A18" s="3" t="s">
        <v>25</v>
      </c>
      <c r="B18" s="3" t="s">
        <v>322</v>
      </c>
      <c r="C18" s="4" t="str">
        <f>IFERROR(IMAGE("https://s1.wklcdn.com/image_130/3907472/224927492/135308989Master.jpg",4,92,160),"Photo indisponible")</f>
        <v/>
      </c>
      <c r="D18" s="3" t="s">
        <v>323</v>
      </c>
      <c r="E18" s="5">
        <v>2447.0</v>
      </c>
      <c r="F18" s="3" t="s">
        <v>324</v>
      </c>
      <c r="G18" s="5">
        <v>1090.0</v>
      </c>
      <c r="H18" s="3" t="s">
        <v>325</v>
      </c>
      <c r="I18" s="5">
        <v>1090.0</v>
      </c>
      <c r="J18" s="3" t="s">
        <v>47</v>
      </c>
      <c r="K18" s="5">
        <v>4.0</v>
      </c>
      <c r="L18" s="5">
        <v>1357.0</v>
      </c>
      <c r="M18" s="6">
        <v>5.0</v>
      </c>
      <c r="N18" s="6">
        <v>5.0</v>
      </c>
      <c r="O18" s="6">
        <v>4.0</v>
      </c>
      <c r="P18" s="6">
        <v>3.0</v>
      </c>
      <c r="Q18" s="6">
        <v>4.0</v>
      </c>
      <c r="R18" s="7">
        <f t="shared" si="1"/>
        <v>4</v>
      </c>
      <c r="S18" s="6">
        <v>4.0</v>
      </c>
      <c r="T18" s="3" t="s">
        <v>431</v>
      </c>
      <c r="U18" s="3" t="s">
        <v>326</v>
      </c>
      <c r="V18" s="3" t="s">
        <v>327</v>
      </c>
      <c r="W18" s="4"/>
      <c r="X18" s="8" t="str">
        <f>HYPERLINK("https://www.google.com/maps/place/Bivacco+Farello/data=!4m2!3m1!1s0x478f61fe09af9121:0xfd2bd6e6c4d7b28","Ouvrir Maps")</f>
        <v>Ouvrir Maps</v>
      </c>
      <c r="Y18" s="8" t="str">
        <f>HYPERLINK("https://www.google.com/search?tbm=isch&amp;q=Bivacco+Farello+refuge+bivouac+montagne+photo","Recherche photos")</f>
        <v>Recherche photos</v>
      </c>
      <c r="Z18" s="10" t="s">
        <v>328</v>
      </c>
      <c r="AA18" s="4"/>
      <c r="AB18" s="3" t="s">
        <v>81</v>
      </c>
      <c r="AC18" s="3" t="s">
        <v>329</v>
      </c>
      <c r="AD18" s="9">
        <f t="shared" si="2"/>
        <v>3.68</v>
      </c>
    </row>
    <row r="19" ht="86.25" customHeight="1">
      <c r="A19" s="3" t="s">
        <v>25</v>
      </c>
      <c r="B19" s="3" t="s">
        <v>179</v>
      </c>
      <c r="C19" s="8" t="str">
        <f>HYPERLINK("https://www.google.com/search?tbm=isch&amp;q=Refuge+des+Dents+du+Midi+refuge+bivouac+montagne+photo","🔎 Rechercher photo")</f>
        <v>🔎 Rechercher photo</v>
      </c>
      <c r="D19" s="3" t="s">
        <v>180</v>
      </c>
      <c r="E19" s="5">
        <v>2884.0</v>
      </c>
      <c r="F19" s="3" t="s">
        <v>181</v>
      </c>
      <c r="G19" s="5">
        <v>1640.0</v>
      </c>
      <c r="H19" s="3" t="s">
        <v>337</v>
      </c>
      <c r="I19" s="5">
        <v>1120.0</v>
      </c>
      <c r="J19" s="3" t="s">
        <v>182</v>
      </c>
      <c r="K19" s="5">
        <v>5.5</v>
      </c>
      <c r="L19" s="5">
        <v>1764.0</v>
      </c>
      <c r="M19" s="6">
        <v>4.0</v>
      </c>
      <c r="N19" s="6">
        <v>4.0</v>
      </c>
      <c r="O19" s="6">
        <v>4.0</v>
      </c>
      <c r="P19" s="6">
        <v>5.0</v>
      </c>
      <c r="Q19" s="6">
        <v>5.0</v>
      </c>
      <c r="R19" s="7">
        <f t="shared" si="1"/>
        <v>4</v>
      </c>
      <c r="S19" s="6">
        <v>4.0</v>
      </c>
      <c r="T19" s="3" t="s">
        <v>431</v>
      </c>
      <c r="U19" s="3" t="s">
        <v>183</v>
      </c>
      <c r="V19" s="3" t="s">
        <v>184</v>
      </c>
      <c r="W19" s="4"/>
      <c r="X19" s="8" t="str">
        <f>HYPERLINK("https://www.google.com/maps/place/Refuge+des+Dents+du+Midi/data=!4m2!3m1!1s0x478eba8921faeaf7:0x6b799d45f53a6421","Ouvrir Maps")</f>
        <v>Ouvrir Maps</v>
      </c>
      <c r="Y19" s="8" t="str">
        <f>HYPERLINK("https://www.google.com/search?tbm=isch&amp;q=Refuge+des+Dents+du+Midi+refuge+bivouac+montagne+photo","Recherche photos")</f>
        <v>Recherche photos</v>
      </c>
      <c r="Z19" s="4"/>
      <c r="AA19" s="4"/>
      <c r="AB19" s="3" t="s">
        <v>50</v>
      </c>
      <c r="AC19" s="4"/>
      <c r="AD19" s="9">
        <f t="shared" si="2"/>
        <v>3.68</v>
      </c>
    </row>
    <row r="20" ht="86.25" customHeight="1">
      <c r="A20" s="3" t="s">
        <v>25</v>
      </c>
      <c r="B20" s="3" t="s">
        <v>191</v>
      </c>
      <c r="C20" s="4" t="str">
        <f>IFERROR(IMAGE("https://www.sac-cas.ch/processed/sa2020assetsprod/1/6/csm_1552317828_553814119master_eac9d85b02.jpg",4,92,160),"Photo indisponible")</f>
        <v/>
      </c>
      <c r="D20" s="3" t="s">
        <v>192</v>
      </c>
      <c r="E20" s="5">
        <v>3340.0</v>
      </c>
      <c r="F20" s="3" t="s">
        <v>193</v>
      </c>
      <c r="G20" s="5">
        <v>2350.0</v>
      </c>
      <c r="H20" s="3" t="s">
        <v>348</v>
      </c>
      <c r="I20" s="5">
        <v>1800.0</v>
      </c>
      <c r="J20" s="3" t="s">
        <v>36</v>
      </c>
      <c r="K20" s="5">
        <v>5.6</v>
      </c>
      <c r="L20" s="5">
        <v>1540.0</v>
      </c>
      <c r="M20" s="6">
        <v>5.0</v>
      </c>
      <c r="N20" s="6">
        <v>3.0</v>
      </c>
      <c r="O20" s="6">
        <v>2.0</v>
      </c>
      <c r="P20" s="6">
        <v>5.0</v>
      </c>
      <c r="Q20" s="6">
        <v>5.0</v>
      </c>
      <c r="R20" s="7">
        <f t="shared" si="1"/>
        <v>4</v>
      </c>
      <c r="S20" s="6">
        <v>4.0</v>
      </c>
      <c r="T20" s="3" t="s">
        <v>431</v>
      </c>
      <c r="U20" s="3" t="s">
        <v>194</v>
      </c>
      <c r="V20" s="3" t="s">
        <v>195</v>
      </c>
      <c r="W20" s="8" t="str">
        <f>HYPERLINK("https://www.mischabelhuette.ch/kopie-von-home","Site officiel")</f>
        <v>Site officiel</v>
      </c>
      <c r="X20" s="8" t="str">
        <f>HYPERLINK("https://www.google.com/maps/place/Mischabelh%C3%BCtte+AACZ/data=!4m2!3m1!1s0x478f460b2c84b941:0x8bf5d14be5139dfe","Ouvrir Maps")</f>
        <v>Ouvrir Maps</v>
      </c>
      <c r="Y20" s="8" t="str">
        <f>HYPERLINK("https://www.sac-cas.ch/processed/sa2020assetsprod/1/6/csm_1552317828_553814119master_eac9d85b02.jpg","Photo HD")</f>
        <v>Photo HD</v>
      </c>
      <c r="Z20" s="8" t="str">
        <f>HYPERLINK("https://www.saas-fee.ch/en/accommodations/mountain-huts/mischabelhuette","Fiche source")</f>
        <v>Fiche source</v>
      </c>
      <c r="AA20" s="4"/>
      <c r="AB20" s="3" t="s">
        <v>32</v>
      </c>
      <c r="AC20" s="4"/>
      <c r="AD20" s="9">
        <f t="shared" si="2"/>
        <v>3.59</v>
      </c>
    </row>
    <row r="21" ht="86.25" customHeight="1">
      <c r="A21" s="3" t="s">
        <v>25</v>
      </c>
      <c r="B21" s="3" t="s">
        <v>214</v>
      </c>
      <c r="C21" s="8" t="str">
        <f>HYPERLINK("https://www.google.com/search?tbm=isch&amp;q=Bivacco+Ulrich+Lateltin+refuge+bivouac+montagne+photo","🔎 Rechercher photo")</f>
        <v>🔎 Rechercher photo</v>
      </c>
      <c r="D21" s="3" t="s">
        <v>215</v>
      </c>
      <c r="E21" s="5">
        <v>3132.0</v>
      </c>
      <c r="F21" s="3" t="s">
        <v>216</v>
      </c>
      <c r="G21" s="5">
        <v>1568.0</v>
      </c>
      <c r="H21" s="3" t="s">
        <v>340</v>
      </c>
      <c r="I21" s="5">
        <v>1568.0</v>
      </c>
      <c r="J21" s="3" t="s">
        <v>217</v>
      </c>
      <c r="K21" s="5">
        <v>4.0</v>
      </c>
      <c r="L21" s="5">
        <v>1564.0</v>
      </c>
      <c r="M21" s="6">
        <v>4.0</v>
      </c>
      <c r="N21" s="6">
        <v>4.0</v>
      </c>
      <c r="O21" s="6">
        <v>4.0</v>
      </c>
      <c r="P21" s="6">
        <v>4.0</v>
      </c>
      <c r="Q21" s="6">
        <v>5.0</v>
      </c>
      <c r="R21" s="7">
        <f t="shared" si="1"/>
        <v>4</v>
      </c>
      <c r="S21" s="6">
        <v>4.0</v>
      </c>
      <c r="T21" s="3" t="s">
        <v>431</v>
      </c>
      <c r="U21" s="3" t="s">
        <v>218</v>
      </c>
      <c r="V21" s="3" t="s">
        <v>219</v>
      </c>
      <c r="W21" s="8" t="str">
        <f>HYPERLINK("https://www.lovevda.it/en/database/7/bivouacs/gressoney-saint-jean/ulrich-lateltin-bivouac/2921","Site officiel")</f>
        <v>Site officiel</v>
      </c>
      <c r="X21" s="8" t="str">
        <f>HYPERLINK("https://www.google.com/maps/place/Bivacco+Ulrich+Lateltin/data=!4m2!3m1!1s0x4788b7226d16df55:0x645217a9a7dbd363","Ouvrir Maps")</f>
        <v>Ouvrir Maps</v>
      </c>
      <c r="Y21" s="8" t="str">
        <f>HYPERLINK("https://www.google.com/search?tbm=isch&amp;q=Bivacco+Ulrich+Lateltin+refuge+bivouac+montagne+photo","Recherche photos")</f>
        <v>Recherche photos</v>
      </c>
      <c r="Z21" s="8" t="str">
        <f>HYPERLINK("https://www.lovevda.it/en/database/7/bivouacs/gressoney-saint-jean/ulrich-lateltin-bivouac/2921","Fiche source")</f>
        <v>Fiche source</v>
      </c>
      <c r="AA21" s="4"/>
      <c r="AB21" s="3" t="s">
        <v>32</v>
      </c>
      <c r="AC21" s="4"/>
      <c r="AD21" s="9">
        <f t="shared" si="2"/>
        <v>3.59</v>
      </c>
    </row>
    <row r="22" ht="86.25" customHeight="1">
      <c r="A22" s="3" t="s">
        <v>25</v>
      </c>
      <c r="B22" s="3" t="s">
        <v>207</v>
      </c>
      <c r="C22" s="8" t="str">
        <f>HYPERLINK("https://www.google.com/search?tbm=isch&amp;q=Cabane+de+Valsorey+CAS+refuge+bivouac+montagne+photo","🔎 Rechercher photo")</f>
        <v>🔎 Rechercher photo</v>
      </c>
      <c r="D22" s="3" t="s">
        <v>208</v>
      </c>
      <c r="E22" s="5">
        <v>3032.0</v>
      </c>
      <c r="F22" s="3" t="s">
        <v>209</v>
      </c>
      <c r="G22" s="5">
        <v>1640.0</v>
      </c>
      <c r="H22" s="3" t="s">
        <v>209</v>
      </c>
      <c r="I22" s="5">
        <v>1640.0</v>
      </c>
      <c r="J22" s="3" t="s">
        <v>210</v>
      </c>
      <c r="K22" s="5">
        <v>4.8</v>
      </c>
      <c r="L22" s="5">
        <v>1392.0</v>
      </c>
      <c r="M22" s="6">
        <v>4.0</v>
      </c>
      <c r="N22" s="6">
        <v>4.0</v>
      </c>
      <c r="O22" s="6">
        <v>3.0</v>
      </c>
      <c r="P22" s="6">
        <v>5.0</v>
      </c>
      <c r="Q22" s="6">
        <v>5.0</v>
      </c>
      <c r="R22" s="7">
        <f t="shared" si="1"/>
        <v>4</v>
      </c>
      <c r="S22" s="6">
        <v>4.0</v>
      </c>
      <c r="T22" s="13" t="s">
        <v>428</v>
      </c>
      <c r="U22" s="3" t="s">
        <v>211</v>
      </c>
      <c r="V22" s="3" t="s">
        <v>212</v>
      </c>
      <c r="W22" s="8" t="str">
        <f>HYPERLINK("https://www.valsorey.ch/fr/acceder-cabane","Site officiel")</f>
        <v>Site officiel</v>
      </c>
      <c r="X22" s="8" t="str">
        <f>HYPERLINK("https://www.google.com/maps/place/Cabane+de+Valsorey+CAS/data=!4m2!3m1!1s0x47892c67fe82d707:0x7db81d6a1bea6af7","Ouvrir Maps")</f>
        <v>Ouvrir Maps</v>
      </c>
      <c r="Y22" s="8" t="str">
        <f>HYPERLINK("https://www.google.com/search?tbm=isch&amp;q=Cabane+de+Valsorey+CAS+refuge+bivouac+montagne+photo","Recherche photos")</f>
        <v>Recherche photos</v>
      </c>
      <c r="Z22" s="8" t="str">
        <f>HYPERLINK("https://www.sac-cas.ch/fr/cabanes-et-courses/portail-des-courses-du-cas/cabane-de-valsorey-cas-2147000282/","Fiche source")</f>
        <v>Fiche source</v>
      </c>
      <c r="AA22" s="10" t="s">
        <v>429</v>
      </c>
      <c r="AB22" s="3" t="s">
        <v>32</v>
      </c>
      <c r="AC22" s="3" t="s">
        <v>213</v>
      </c>
      <c r="AD22" s="9">
        <f t="shared" si="2"/>
        <v>3.59</v>
      </c>
    </row>
    <row r="23" ht="86.25" customHeight="1">
      <c r="A23" s="3" t="s">
        <v>25</v>
      </c>
      <c r="B23" s="3" t="s">
        <v>220</v>
      </c>
      <c r="C23" s="4" t="str">
        <f>IFERROR(IMAGE("https://www.sac-cas.ch/processed/sa2020assetsprod/0/2/csm_1623330332_1114747699master_4f4b2a7851.jpg",4,92,160),"Photo indisponible")</f>
        <v/>
      </c>
      <c r="D23" s="3" t="s">
        <v>40</v>
      </c>
      <c r="E23" s="5">
        <v>2783.0</v>
      </c>
      <c r="F23" s="3" t="s">
        <v>41</v>
      </c>
      <c r="G23" s="5">
        <v>970.0</v>
      </c>
      <c r="H23" s="3" t="s">
        <v>41</v>
      </c>
      <c r="I23" s="5">
        <v>970.0</v>
      </c>
      <c r="J23" s="3" t="s">
        <v>36</v>
      </c>
      <c r="K23" s="5">
        <v>6.5</v>
      </c>
      <c r="L23" s="5">
        <v>1813.0</v>
      </c>
      <c r="M23" s="6">
        <v>3.0</v>
      </c>
      <c r="N23" s="6">
        <v>5.0</v>
      </c>
      <c r="O23" s="6">
        <v>5.0</v>
      </c>
      <c r="P23" s="6">
        <v>5.0</v>
      </c>
      <c r="Q23" s="6">
        <v>5.0</v>
      </c>
      <c r="R23" s="7">
        <f t="shared" si="1"/>
        <v>4</v>
      </c>
      <c r="S23" s="6">
        <v>4.0</v>
      </c>
      <c r="T23" s="3" t="s">
        <v>431</v>
      </c>
      <c r="U23" s="3" t="s">
        <v>221</v>
      </c>
      <c r="V23" s="3" t="s">
        <v>222</v>
      </c>
      <c r="W23" s="8" t="str">
        <f>HYPERLINK("https://www.sac-cas.ch/fr/cabanes-et-courses/portail-des-courses-du-cas/baltschiederklause-sac-2147000025/","Site officiel")</f>
        <v>Site officiel</v>
      </c>
      <c r="X23" s="8" t="str">
        <f>HYPERLINK("https://www.google.com/maps/place/Baltschiederklause+SAC/data=!4m2!3m1!1s0x478f6d5760f935a1:0xe6a10355e732d087","Ouvrir Maps")</f>
        <v>Ouvrir Maps</v>
      </c>
      <c r="Y23" s="8" t="str">
        <f>HYPERLINK("https://www.sac-cas.ch/processed/sa2020assetsprod/0/2/csm_1623330332_1114747699master_4f4b2a7851.jpg","Photo HD")</f>
        <v>Photo HD</v>
      </c>
      <c r="Z23" s="8" t="str">
        <f>HYPERLINK("https://www.sac-cas.ch/fr/cabanes-et-courses/portail-des-courses-du-cas/baltschiederklause-sac-2147000025/","Fiche source")</f>
        <v>Fiche source</v>
      </c>
      <c r="AA23" s="4"/>
      <c r="AB23" s="3" t="s">
        <v>32</v>
      </c>
      <c r="AC23" s="4"/>
      <c r="AD23" s="9">
        <f t="shared" si="2"/>
        <v>3.54</v>
      </c>
    </row>
    <row r="24" ht="86.25" customHeight="1">
      <c r="A24" s="3" t="s">
        <v>25</v>
      </c>
      <c r="B24" s="3" t="s">
        <v>196</v>
      </c>
      <c r="C24" s="4" t="str">
        <f>IFERROR(IMAGE("https://www.clubalpinoaccademico.it/media/k2/items/cache/f7abac252ae5ed68121b92ba7a669d87_XL.jpg",4,92,160),"Photo indisponible")</f>
        <v/>
      </c>
      <c r="D24" s="3" t="s">
        <v>175</v>
      </c>
      <c r="E24" s="5">
        <v>2735.0</v>
      </c>
      <c r="F24" s="3" t="s">
        <v>197</v>
      </c>
      <c r="G24" s="5">
        <v>1775.0</v>
      </c>
      <c r="H24" s="3" t="s">
        <v>308</v>
      </c>
      <c r="I24" s="5">
        <v>1600.0</v>
      </c>
      <c r="J24" s="3" t="s">
        <v>132</v>
      </c>
      <c r="K24" s="5">
        <v>4.0</v>
      </c>
      <c r="L24" s="5">
        <v>1135.0</v>
      </c>
      <c r="M24" s="6">
        <v>4.0</v>
      </c>
      <c r="N24" s="6">
        <v>4.0</v>
      </c>
      <c r="O24" s="6">
        <v>3.0</v>
      </c>
      <c r="P24" s="6">
        <v>4.0</v>
      </c>
      <c r="Q24" s="6">
        <v>5.0</v>
      </c>
      <c r="R24" s="7">
        <f t="shared" si="1"/>
        <v>3</v>
      </c>
      <c r="S24" s="6">
        <v>4.0</v>
      </c>
      <c r="T24" s="3" t="s">
        <v>431</v>
      </c>
      <c r="U24" s="3" t="s">
        <v>198</v>
      </c>
      <c r="V24" s="3" t="s">
        <v>199</v>
      </c>
      <c r="W24" s="4"/>
      <c r="X24" s="8" t="str">
        <f>HYPERLINK("https://www.google.com/maps/place/Bivacco+Fiorio/data=!4m2!3m1!1s0x4789373670821e3f:0x1eaa7200d33e9907","Ouvrir Maps")</f>
        <v>Ouvrir Maps</v>
      </c>
      <c r="Y24" s="8" t="str">
        <f>HYPERLINK("https://www.google.com/search?tbm=isch&amp;q=Bivacco+Fiorio+refuge+bivouac+montagne+photo","Recherche photos")</f>
        <v>Recherche photos</v>
      </c>
      <c r="Z24" s="10" t="s">
        <v>200</v>
      </c>
      <c r="AA24" s="4"/>
      <c r="AB24" s="3" t="s">
        <v>81</v>
      </c>
      <c r="AC24" s="4"/>
      <c r="AD24" s="9">
        <f t="shared" si="2"/>
        <v>3.48</v>
      </c>
    </row>
    <row r="25" ht="86.25" customHeight="1">
      <c r="A25" s="3" t="s">
        <v>25</v>
      </c>
      <c r="B25" s="3" t="s">
        <v>330</v>
      </c>
      <c r="C25" s="4" t="str">
        <f>IFERROR(IMAGE("https://www.sac-cas.ch/processed/sa2020assetsprod/f/0/csm_1504766991_1684337261master_e08184a299.jpg",4,92,160),"Photo indisponible")</f>
        <v/>
      </c>
      <c r="D25" s="3" t="s">
        <v>331</v>
      </c>
      <c r="E25" s="5">
        <v>2428.0</v>
      </c>
      <c r="F25" s="3" t="s">
        <v>332</v>
      </c>
      <c r="G25" s="5">
        <v>1480.0</v>
      </c>
      <c r="H25" s="3" t="s">
        <v>332</v>
      </c>
      <c r="I25" s="5">
        <v>1480.0</v>
      </c>
      <c r="J25" s="3" t="s">
        <v>333</v>
      </c>
      <c r="K25" s="5">
        <v>2.5</v>
      </c>
      <c r="L25" s="5">
        <v>948.0</v>
      </c>
      <c r="M25" s="6">
        <v>3.0</v>
      </c>
      <c r="N25" s="6">
        <v>4.0</v>
      </c>
      <c r="O25" s="6">
        <v>4.0</v>
      </c>
      <c r="P25" s="6">
        <v>4.0</v>
      </c>
      <c r="Q25" s="6">
        <v>4.0</v>
      </c>
      <c r="R25" s="7">
        <f t="shared" si="1"/>
        <v>3</v>
      </c>
      <c r="S25" s="6">
        <v>2.0</v>
      </c>
      <c r="T25" s="3" t="s">
        <v>424</v>
      </c>
      <c r="U25" s="3" t="s">
        <v>334</v>
      </c>
      <c r="V25" s="3" t="s">
        <v>335</v>
      </c>
      <c r="W25" s="8" t="str">
        <f>HYPERLINK("https://www.sac-cas.ch/en/huts-and-tours/sac-route-portal/laggin-biwak-sac-2147000144/mountain-hiking/","Site officiel")</f>
        <v>Site officiel</v>
      </c>
      <c r="X25" s="8" t="str">
        <f>HYPERLINK("https://www.google.com/maps/place/Laggin+Biwak/data=!4m2!3m1!1s0x478f5c879447c697:0x30570f45d2415284","Ouvrir Maps")</f>
        <v>Ouvrir Maps</v>
      </c>
      <c r="Y25" s="8" t="str">
        <f>HYPERLINK("https://www.sac-cas.ch/processed/sa2020assetsprod/f/0/csm_1504766991_1684337261master_e08184a299.jpg","Photo HD")</f>
        <v>Photo HD</v>
      </c>
      <c r="Z25" s="8" t="str">
        <f>HYPERLINK("https://www.inalto.org/fr/rapports/randonnees/laggin-biwak-da-simplon-dorf","Fiche source")</f>
        <v>Fiche source</v>
      </c>
      <c r="AA25" s="4"/>
      <c r="AB25" s="3" t="s">
        <v>32</v>
      </c>
      <c r="AC25" s="3" t="s">
        <v>63</v>
      </c>
      <c r="AD25" s="9">
        <f t="shared" si="2"/>
        <v>3.48</v>
      </c>
    </row>
    <row r="26" ht="86.25" customHeight="1">
      <c r="A26" s="3" t="s">
        <v>25</v>
      </c>
      <c r="B26" s="3" t="s">
        <v>39</v>
      </c>
      <c r="C26" s="4" t="str">
        <f>IFERROR(IMAGE("https://www.bergsteigen.com/fileadmin/_processed_/d/1/csm_stockhronbiwak-9_1de5692693.jpg",4,92,160),"Photo indisponible")</f>
        <v/>
      </c>
      <c r="D26" s="3" t="s">
        <v>40</v>
      </c>
      <c r="E26" s="5">
        <v>2598.0</v>
      </c>
      <c r="F26" s="3" t="s">
        <v>41</v>
      </c>
      <c r="G26" s="5">
        <v>970.0</v>
      </c>
      <c r="H26" s="3" t="s">
        <v>41</v>
      </c>
      <c r="I26" s="5">
        <v>970.0</v>
      </c>
      <c r="J26" s="3" t="s">
        <v>36</v>
      </c>
      <c r="K26" s="5">
        <v>6.5</v>
      </c>
      <c r="L26" s="5">
        <v>1628.0</v>
      </c>
      <c r="M26" s="6">
        <v>4.0</v>
      </c>
      <c r="N26" s="6">
        <v>5.0</v>
      </c>
      <c r="O26" s="6">
        <v>5.0</v>
      </c>
      <c r="P26" s="6">
        <v>5.0</v>
      </c>
      <c r="Q26" s="6">
        <v>5.0</v>
      </c>
      <c r="R26" s="7">
        <f t="shared" si="1"/>
        <v>3</v>
      </c>
      <c r="S26" s="6">
        <v>5.0</v>
      </c>
      <c r="T26" s="3" t="s">
        <v>431</v>
      </c>
      <c r="U26" s="3" t="s">
        <v>42</v>
      </c>
      <c r="V26" s="3" t="s">
        <v>43</v>
      </c>
      <c r="W26" s="8" t="str">
        <f>HYPERLINK("https://www.sac-cas.ch/fr/cabanes-et-courses/portail-des-courses-du-cas/stockhornbiwak-sac-2147000258/","Site officiel")</f>
        <v>Site officiel</v>
      </c>
      <c r="X26" s="8" t="str">
        <f>HYPERLINK("https://www.google.com/maps/place/Stockhornbiwak+SAC/data=!4m2!3m1!1s0x478f6d380c649801:0x2af75228f92aa18","Ouvrir Maps")</f>
        <v>Ouvrir Maps</v>
      </c>
      <c r="Y26" s="8" t="str">
        <f>HYPERLINK("https://www.bergsteigen.com/fileadmin/_processed_/d/1/csm_stockhronbiwak-9_1de5692693.jpg","Photo HD")</f>
        <v>Photo HD</v>
      </c>
      <c r="Z26" s="8" t="str">
        <f>HYPERLINK("https://www.sac-cas.ch/fr/cabanes-et-courses/portail-des-courses-du-cas/stockhornbiwak-sac-2147000258/","Fiche source")</f>
        <v>Fiche source</v>
      </c>
      <c r="AA26" s="4"/>
      <c r="AB26" s="3" t="s">
        <v>32</v>
      </c>
      <c r="AC26" s="4"/>
      <c r="AD26" s="9">
        <f t="shared" si="2"/>
        <v>3.47</v>
      </c>
    </row>
    <row r="27" ht="86.25" customHeight="1">
      <c r="A27" s="3" t="s">
        <v>25</v>
      </c>
      <c r="B27" s="3" t="s">
        <v>310</v>
      </c>
      <c r="C27" s="8" t="str">
        <f>HYPERLINK("https://www.google.com/search?tbm=isch&amp;q=Bivacco+Bonelli+refuge+bivouac+montagne+photo","🔎 Rechercher photo")</f>
        <v>🔎 Rechercher photo</v>
      </c>
      <c r="D27" s="3" t="s">
        <v>224</v>
      </c>
      <c r="E27" s="5">
        <v>2328.0</v>
      </c>
      <c r="F27" s="3" t="s">
        <v>311</v>
      </c>
      <c r="G27" s="5">
        <v>1800.0</v>
      </c>
      <c r="H27" s="3" t="s">
        <v>271</v>
      </c>
      <c r="I27" s="5">
        <v>1800.0</v>
      </c>
      <c r="J27" s="3" t="s">
        <v>226</v>
      </c>
      <c r="K27" s="5">
        <v>2.5</v>
      </c>
      <c r="L27" s="5">
        <v>528.0</v>
      </c>
      <c r="M27" s="6">
        <v>3.0</v>
      </c>
      <c r="N27" s="6">
        <v>4.0</v>
      </c>
      <c r="O27" s="6">
        <v>3.0</v>
      </c>
      <c r="P27" s="6">
        <v>4.0</v>
      </c>
      <c r="Q27" s="6">
        <v>4.0</v>
      </c>
      <c r="R27" s="7">
        <f t="shared" si="1"/>
        <v>3</v>
      </c>
      <c r="S27" s="6">
        <v>2.0</v>
      </c>
      <c r="T27" s="3" t="s">
        <v>425</v>
      </c>
      <c r="U27" s="3" t="s">
        <v>312</v>
      </c>
      <c r="V27" s="3" t="s">
        <v>313</v>
      </c>
      <c r="W27" s="4"/>
      <c r="X27" s="8" t="str">
        <f>HYPERLINK("https://www.google.com/maps/place/Bivacco+Bonelli/data=!4m2!3m1!1s0x12cce7d4a7071467:0x18489db159e0e15","Ouvrir Maps")</f>
        <v>Ouvrir Maps</v>
      </c>
      <c r="Y27" s="8" t="str">
        <f>HYPERLINK("https://www.google.com/search?tbm=isch&amp;q=Bivacco+Bonelli+refuge+bivouac+montagne+photo","Recherche photos")</f>
        <v>Recherche photos</v>
      </c>
      <c r="Z27" s="4"/>
      <c r="AA27" s="4"/>
      <c r="AB27" s="3" t="s">
        <v>50</v>
      </c>
      <c r="AC27" s="3" t="s">
        <v>63</v>
      </c>
      <c r="AD27" s="9">
        <f t="shared" si="2"/>
        <v>3.47</v>
      </c>
    </row>
    <row r="28" ht="86.25" customHeight="1">
      <c r="A28" s="3" t="s">
        <v>25</v>
      </c>
      <c r="B28" s="3" t="s">
        <v>316</v>
      </c>
      <c r="C28" s="8" t="str">
        <f>HYPERLINK("https://www.google.com/search?tbm=isch&amp;q=Refuge+du+Pigeonnier+refuge+bivouac+montagne+photo","🔎 Rechercher photo")</f>
        <v>🔎 Rechercher photo</v>
      </c>
      <c r="D28" s="3" t="s">
        <v>162</v>
      </c>
      <c r="E28" s="5">
        <v>2430.0</v>
      </c>
      <c r="F28" s="3" t="s">
        <v>317</v>
      </c>
      <c r="G28" s="5">
        <v>1750.0</v>
      </c>
      <c r="H28" s="3" t="s">
        <v>318</v>
      </c>
      <c r="I28" s="5">
        <v>1050.0</v>
      </c>
      <c r="J28" s="3" t="s">
        <v>86</v>
      </c>
      <c r="K28" s="5">
        <v>4.5</v>
      </c>
      <c r="L28" s="5">
        <v>1380.0</v>
      </c>
      <c r="M28" s="6">
        <v>3.0</v>
      </c>
      <c r="N28" s="6">
        <v>3.0</v>
      </c>
      <c r="O28" s="6">
        <v>2.0</v>
      </c>
      <c r="P28" s="6">
        <v>5.0</v>
      </c>
      <c r="Q28" s="6">
        <v>5.0</v>
      </c>
      <c r="R28" s="7">
        <f t="shared" si="1"/>
        <v>3</v>
      </c>
      <c r="S28" s="6">
        <v>2.0</v>
      </c>
      <c r="T28" s="3" t="s">
        <v>431</v>
      </c>
      <c r="U28" s="3" t="s">
        <v>319</v>
      </c>
      <c r="V28" s="3" t="s">
        <v>320</v>
      </c>
      <c r="W28" s="4"/>
      <c r="X28" s="8" t="str">
        <f>HYPERLINK("https://www.google.com/maps/place/Refuge+du+Pigeonnier/data=!4m2!3m1!1s0x478a07a7e75f2bff:0x2e0bbe7a3653cbef","Ouvrir Maps")</f>
        <v>Ouvrir Maps</v>
      </c>
      <c r="Y28" s="8" t="str">
        <f>HYPERLINK("https://www.google.com/search?tbm=isch&amp;q=Refuge+du+Pigeonnier+refuge+bivouac+montagne+photo","Recherche photos")</f>
        <v>Recherche photos</v>
      </c>
      <c r="Z28" s="4"/>
      <c r="AA28" s="4"/>
      <c r="AB28" s="3" t="s">
        <v>50</v>
      </c>
      <c r="AC28" s="4"/>
      <c r="AD28" s="9">
        <f t="shared" si="2"/>
        <v>3.44</v>
      </c>
    </row>
    <row r="29" ht="86.25" customHeight="1">
      <c r="A29" s="3" t="s">
        <v>25</v>
      </c>
      <c r="B29" s="3" t="s">
        <v>108</v>
      </c>
      <c r="C29" s="4" t="str">
        <f>IFERROR(IMAGE("https://www.alpinewelten.com/cdn/uploads/refuge-des-grands-moulets-aussen.jpg",4,92,160),"Photo indisponible")</f>
        <v/>
      </c>
      <c r="D29" s="3" t="s">
        <v>109</v>
      </c>
      <c r="E29" s="5">
        <v>3051.0</v>
      </c>
      <c r="F29" s="3" t="s">
        <v>110</v>
      </c>
      <c r="G29" s="5">
        <v>2310.0</v>
      </c>
      <c r="H29" s="3" t="s">
        <v>388</v>
      </c>
      <c r="I29" s="5">
        <v>2310.0</v>
      </c>
      <c r="J29" s="3" t="s">
        <v>111</v>
      </c>
      <c r="K29" s="5">
        <v>4.5</v>
      </c>
      <c r="L29" s="5">
        <v>741.0</v>
      </c>
      <c r="M29" s="6">
        <v>5.0</v>
      </c>
      <c r="N29" s="6">
        <v>3.0</v>
      </c>
      <c r="O29" s="6">
        <v>2.0</v>
      </c>
      <c r="P29" s="6">
        <v>5.0</v>
      </c>
      <c r="Q29" s="6">
        <v>5.0</v>
      </c>
      <c r="R29" s="7">
        <f t="shared" si="1"/>
        <v>3</v>
      </c>
      <c r="S29" s="6">
        <v>5.0</v>
      </c>
      <c r="T29" s="13" t="s">
        <v>433</v>
      </c>
      <c r="U29" s="3" t="s">
        <v>112</v>
      </c>
      <c r="V29" s="3" t="s">
        <v>113</v>
      </c>
      <c r="W29" s="4"/>
      <c r="X29" s="8" t="str">
        <f>HYPERLINK("https://www.google.com/maps/place/Refuge+des+Grands+Mulets/data=!4m2!3m1!1s0x47894f99cf5337cb:0xf13ad183daf3c8ba","Ouvrir Maps")</f>
        <v>Ouvrir Maps</v>
      </c>
      <c r="Y29" s="8" t="str">
        <f>HYPERLINK("https://www.alpinewelten.com/cdn/uploads/refuge-des-grands-moulets-aussen.jpg","Photo HD")</f>
        <v>Photo HD</v>
      </c>
      <c r="Z29" s="10" t="s">
        <v>114</v>
      </c>
      <c r="AA29" s="10" t="s">
        <v>114</v>
      </c>
      <c r="AB29" s="3" t="s">
        <v>81</v>
      </c>
      <c r="AC29" s="3" t="s">
        <v>115</v>
      </c>
      <c r="AD29" s="9">
        <f t="shared" si="2"/>
        <v>3.31</v>
      </c>
    </row>
    <row r="30" ht="86.25" customHeight="1">
      <c r="A30" s="3" t="s">
        <v>25</v>
      </c>
      <c r="B30" s="3" t="s">
        <v>301</v>
      </c>
      <c r="C30" s="4" t="str">
        <f>IFERROR(IMAGE("https://cms.outtrip.fr/assets/_1200x630_crop_center-center_82_none/Bivacco-Tzan.jpeg?mtime=1676631907",4,92,160),"Photo indisponible")</f>
        <v/>
      </c>
      <c r="D30" s="3" t="s">
        <v>302</v>
      </c>
      <c r="E30" s="5">
        <v>2482.0</v>
      </c>
      <c r="F30" s="3" t="s">
        <v>303</v>
      </c>
      <c r="G30" s="5">
        <v>2080.0</v>
      </c>
      <c r="H30" s="3" t="s">
        <v>304</v>
      </c>
      <c r="I30" s="5">
        <v>1490.0</v>
      </c>
      <c r="J30" s="3" t="s">
        <v>99</v>
      </c>
      <c r="K30" s="5">
        <v>4.2</v>
      </c>
      <c r="L30" s="5">
        <v>992.0</v>
      </c>
      <c r="M30" s="6">
        <v>3.0</v>
      </c>
      <c r="N30" s="6">
        <v>3.0</v>
      </c>
      <c r="O30" s="6">
        <v>3.0</v>
      </c>
      <c r="P30" s="6">
        <v>4.0</v>
      </c>
      <c r="Q30" s="6">
        <v>4.0</v>
      </c>
      <c r="R30" s="7">
        <f t="shared" si="1"/>
        <v>3</v>
      </c>
      <c r="S30" s="6">
        <v>2.0</v>
      </c>
      <c r="T30" s="3" t="s">
        <v>426</v>
      </c>
      <c r="U30" s="3" t="s">
        <v>305</v>
      </c>
      <c r="V30" s="3" t="s">
        <v>306</v>
      </c>
      <c r="W30" s="4"/>
      <c r="X30" s="8" t="str">
        <f>HYPERLINK("https://www.google.com/maps/place/Bivacco+Tzan/data=!4m2!3m1!1s0x4788d1394f3cb30f:0x218eb70672719f9a","Ouvrir Maps")</f>
        <v>Ouvrir Maps</v>
      </c>
      <c r="Y30" s="8" t="str">
        <f>HYPERLINK("https://cms.outtrip.fr/assets/_1200x630_crop_center-center_82_none/Bivacco-Tzan.jpeg?mtime=1676631907","Photo HD")</f>
        <v>Photo HD</v>
      </c>
      <c r="Z30" s="4"/>
      <c r="AA30" s="4"/>
      <c r="AB30" s="3" t="s">
        <v>50</v>
      </c>
      <c r="AC30" s="3" t="s">
        <v>307</v>
      </c>
      <c r="AD30" s="9">
        <f t="shared" si="2"/>
        <v>3.26</v>
      </c>
    </row>
    <row r="31" ht="86.25" customHeight="1">
      <c r="A31" s="3" t="s">
        <v>25</v>
      </c>
      <c r="B31" s="3" t="s">
        <v>144</v>
      </c>
      <c r="C31" s="4" t="str">
        <f>IFERROR(IMAGE("https://media.myswitzerland.com/image/fetch/c_lfill%2Cg_auto%2Cw_3200%2Ch_1800/f_auto%2Cq_80%2Cfl_keep_iptc/https%3A/www.myswitzerland.com/-/media/st/gadmin/images/destinations/summer/huts/sac_bertol_2009_226886.jpg",4,92,160),"Photo indisponible")</f>
        <v/>
      </c>
      <c r="D31" s="3" t="s">
        <v>145</v>
      </c>
      <c r="E31" s="5">
        <v>3311.0</v>
      </c>
      <c r="F31" s="3" t="s">
        <v>146</v>
      </c>
      <c r="G31" s="5">
        <v>1968.0</v>
      </c>
      <c r="H31" s="3" t="s">
        <v>146</v>
      </c>
      <c r="I31" s="5">
        <v>1968.0</v>
      </c>
      <c r="J31" s="3" t="s">
        <v>29</v>
      </c>
      <c r="K31" s="5">
        <v>4.3</v>
      </c>
      <c r="L31" s="5">
        <v>1343.0</v>
      </c>
      <c r="M31" s="6">
        <v>4.0</v>
      </c>
      <c r="N31" s="6">
        <v>4.0</v>
      </c>
      <c r="O31" s="6">
        <v>3.0</v>
      </c>
      <c r="P31" s="6">
        <v>5.0</v>
      </c>
      <c r="Q31" s="6">
        <v>5.0</v>
      </c>
      <c r="R31" s="7">
        <f t="shared" si="1"/>
        <v>3</v>
      </c>
      <c r="S31" s="6">
        <v>5.0</v>
      </c>
      <c r="T31" s="13" t="s">
        <v>428</v>
      </c>
      <c r="U31" s="3" t="s">
        <v>147</v>
      </c>
      <c r="V31" s="3" t="s">
        <v>148</v>
      </c>
      <c r="W31" s="8" t="str">
        <f>HYPERLINK("https://www.sac-cas.ch/fr/cabanes-et-courses/portail-des-courses-du-cas/cabane-de-bertol-cas-2147000031/","Site officiel")</f>
        <v>Site officiel</v>
      </c>
      <c r="X31" s="8" t="str">
        <f>HYPERLINK("https://www.google.com/maps/place/Bertol+Hut/data=!4m2!3m1!1s0x478f2c5a4cdb8d19:0x5f35e0415c90d466","Ouvrir Maps")</f>
        <v>Ouvrir Maps</v>
      </c>
      <c r="Y31" s="8" t="str">
        <f>HYPERLINK("https://media.myswitzerland.com/image/fetch/c_lfill%2Cg_auto%2Cw_3200%2Ch_1800/f_auto%2Cq_80%2Cfl_keep_iptc/https%3A/www.myswitzerland.com/-/media/st/gadmin/images/destinations/summer/huts/sac_bertol_2009_226886.jpg","Photo HD")</f>
        <v>Photo HD</v>
      </c>
      <c r="Z31" s="10" t="s">
        <v>149</v>
      </c>
      <c r="AA31" s="10" t="s">
        <v>149</v>
      </c>
      <c r="AB31" s="3" t="s">
        <v>81</v>
      </c>
      <c r="AC31" s="3" t="s">
        <v>115</v>
      </c>
      <c r="AD31" s="9">
        <f t="shared" si="2"/>
        <v>3.18</v>
      </c>
    </row>
    <row r="32" ht="86.25" customHeight="1">
      <c r="A32" s="3" t="s">
        <v>25</v>
      </c>
      <c r="B32" s="3" t="s">
        <v>341</v>
      </c>
      <c r="C32" s="4" t="str">
        <f>IFERROR(IMAGE("https://www.suisseterroir.ch/common/showPhoto.asp?Fieldname=File1&amp;ID=4593&amp;Objectname=_Mod_adresseFiles",4,92,160),"Photo indisponible")</f>
        <v/>
      </c>
      <c r="D32" s="3" t="s">
        <v>342</v>
      </c>
      <c r="E32" s="5">
        <v>2440.0</v>
      </c>
      <c r="F32" s="3" t="s">
        <v>343</v>
      </c>
      <c r="G32" s="5">
        <v>1310.0</v>
      </c>
      <c r="H32" s="3" t="s">
        <v>344</v>
      </c>
      <c r="I32" s="5">
        <v>1350.0</v>
      </c>
      <c r="J32" s="3" t="s">
        <v>345</v>
      </c>
      <c r="K32" s="5">
        <v>3.0</v>
      </c>
      <c r="L32" s="5">
        <v>1090.0</v>
      </c>
      <c r="M32" s="6">
        <v>3.0</v>
      </c>
      <c r="N32" s="6">
        <v>2.0</v>
      </c>
      <c r="O32" s="6">
        <v>1.0</v>
      </c>
      <c r="P32" s="6">
        <v>5.0</v>
      </c>
      <c r="Q32" s="6">
        <v>5.0</v>
      </c>
      <c r="R32" s="7">
        <f t="shared" si="1"/>
        <v>3</v>
      </c>
      <c r="S32" s="6">
        <v>3.0</v>
      </c>
      <c r="T32" s="3" t="s">
        <v>426</v>
      </c>
      <c r="U32" s="3" t="s">
        <v>346</v>
      </c>
      <c r="V32" s="3" t="s">
        <v>347</v>
      </c>
      <c r="W32" s="8" t="str">
        <f>HYPERLINK("https://fenestral.ch/","Site officiel")</f>
        <v>Site officiel</v>
      </c>
      <c r="X32" s="8" t="str">
        <f>HYPERLINK("https://www.google.com/maps/place/Cabane+du+Fenestral/data=!4m2!3m1!1s0x478ec771cab0a115:0x5f1714f1a55dfd70","Ouvrir Maps")</f>
        <v>Ouvrir Maps</v>
      </c>
      <c r="Y32" s="8" t="str">
        <f>HYPERLINK("https://www.suisseterroir.ch/common/showPhoto.asp?Fieldname=File1&amp;ID=4593&amp;Objectname=_Mod_adresseFiles","Photo HD")</f>
        <v>Photo HD</v>
      </c>
      <c r="Z32" s="8" t="str">
        <f>HYPERLINK("https://www.sac-cas.ch/fr/cabanes-et-courses/portail-des-courses-du-cas/cabane-du-fenestral-2147000093/","Fiche source")</f>
        <v>Fiche source</v>
      </c>
      <c r="AA32" s="4"/>
      <c r="AB32" s="3" t="s">
        <v>32</v>
      </c>
      <c r="AC32" s="3" t="s">
        <v>63</v>
      </c>
      <c r="AD32" s="9">
        <f t="shared" si="2"/>
        <v>3.16</v>
      </c>
    </row>
    <row r="33" ht="86.25" customHeight="1">
      <c r="A33" s="3" t="s">
        <v>25</v>
      </c>
      <c r="B33" s="3" t="s">
        <v>349</v>
      </c>
      <c r="C33" s="4" t="str">
        <f>IFERROR(IMAGE("https://d2exd72xrrp1s7.cloudfront.net/www/000/1k9/1w/1wnw0cb3ia6s2emp92glcxmmo5d4fqs3l-uhi86205615/0?crop=true&amp;height=576&amp;width=768",4,92,160),"Photo indisponible")</f>
        <v/>
      </c>
      <c r="D33" s="3" t="s">
        <v>58</v>
      </c>
      <c r="E33" s="5">
        <v>2376.0</v>
      </c>
      <c r="F33" s="3" t="s">
        <v>350</v>
      </c>
      <c r="G33" s="5">
        <v>1420.0</v>
      </c>
      <c r="H33" s="3" t="s">
        <v>351</v>
      </c>
      <c r="I33" s="5">
        <v>1420.0</v>
      </c>
      <c r="J33" s="3" t="s">
        <v>60</v>
      </c>
      <c r="K33" s="5">
        <v>2.5</v>
      </c>
      <c r="L33" s="5">
        <v>956.0</v>
      </c>
      <c r="M33" s="6">
        <v>3.0</v>
      </c>
      <c r="N33" s="6">
        <v>2.0</v>
      </c>
      <c r="O33" s="6">
        <v>1.0</v>
      </c>
      <c r="P33" s="6">
        <v>5.0</v>
      </c>
      <c r="Q33" s="6">
        <v>4.0</v>
      </c>
      <c r="R33" s="7">
        <f t="shared" si="1"/>
        <v>3</v>
      </c>
      <c r="S33" s="6">
        <v>2.0</v>
      </c>
      <c r="T33" s="3" t="s">
        <v>425</v>
      </c>
      <c r="U33" s="3" t="s">
        <v>352</v>
      </c>
      <c r="V33" s="3" t="s">
        <v>353</v>
      </c>
      <c r="W33" s="4"/>
      <c r="X33" s="8" t="str">
        <f>HYPERLINK("https://www.google.com/maps/place/Cima+del+Bosco/data=!4m2!3m1!1s0x4789db90c3dc61e9:0x9746d104baef82e","Ouvrir Maps")</f>
        <v>Ouvrir Maps</v>
      </c>
      <c r="Y33" s="8" t="str">
        <f>HYPERLINK("https://d2exd72xrrp1s7.cloudfront.net/www/000/1k9/1w/1wnw0cb3ia6s2emp92glcxmmo5d4fqs3l-uhi86205615/0?crop=true&amp;height=576&amp;width=768","Photo HD")</f>
        <v>Photo HD</v>
      </c>
      <c r="Z33" s="4"/>
      <c r="AA33" s="4"/>
      <c r="AB33" s="3" t="s">
        <v>50</v>
      </c>
      <c r="AC33" s="3" t="s">
        <v>354</v>
      </c>
      <c r="AD33" s="9">
        <f t="shared" si="2"/>
        <v>3.1</v>
      </c>
    </row>
    <row r="34" ht="86.25" customHeight="1">
      <c r="A34" s="3" t="s">
        <v>25</v>
      </c>
      <c r="B34" s="3" t="s">
        <v>355</v>
      </c>
      <c r="C34" s="4" t="str">
        <f>IFERROR(IMAGE("https://img2.oastatic.com/img2/62566998/max/rif--alpetto.jpg",4,92,160),"Photo indisponible")</f>
        <v/>
      </c>
      <c r="D34" s="3" t="s">
        <v>356</v>
      </c>
      <c r="E34" s="5">
        <v>2268.0</v>
      </c>
      <c r="F34" s="3" t="s">
        <v>357</v>
      </c>
      <c r="G34" s="5">
        <v>2020.0</v>
      </c>
      <c r="H34" s="3" t="s">
        <v>358</v>
      </c>
      <c r="I34" s="5">
        <v>1650.0</v>
      </c>
      <c r="J34" s="3" t="s">
        <v>125</v>
      </c>
      <c r="K34" s="5">
        <v>3.6</v>
      </c>
      <c r="L34" s="5">
        <v>618.0</v>
      </c>
      <c r="M34" s="6">
        <v>3.0</v>
      </c>
      <c r="N34" s="6">
        <v>2.0</v>
      </c>
      <c r="O34" s="6">
        <v>1.0</v>
      </c>
      <c r="P34" s="6">
        <v>4.0</v>
      </c>
      <c r="Q34" s="6">
        <v>4.0</v>
      </c>
      <c r="R34" s="7">
        <f t="shared" si="1"/>
        <v>3</v>
      </c>
      <c r="S34" s="6">
        <v>2.0</v>
      </c>
      <c r="T34" s="3" t="s">
        <v>426</v>
      </c>
      <c r="U34" s="3" t="s">
        <v>359</v>
      </c>
      <c r="V34" s="3" t="s">
        <v>360</v>
      </c>
      <c r="W34" s="8" t="str">
        <f>HYPERLINK("https://www.rifugioalpetto.it/","Site officiel")</f>
        <v>Site officiel</v>
      </c>
      <c r="X34" s="8" t="str">
        <f>HYPERLINK("https://www.google.com/maps/place/Rifugio+Alpetto/data=!4m2!3m1!1s0x12cd285033895bb3:0x5ccc6eaf092f3f46","Ouvrir Maps")</f>
        <v>Ouvrir Maps</v>
      </c>
      <c r="Y34" s="8" t="str">
        <f>HYPERLINK("https://img2.oastatic.com/img2/62566998/max/rif--alpetto.jpg","Photo HD")</f>
        <v>Photo HD</v>
      </c>
      <c r="Z34" s="4"/>
      <c r="AA34" s="4"/>
      <c r="AB34" s="3" t="s">
        <v>50</v>
      </c>
      <c r="AC34" s="3" t="s">
        <v>361</v>
      </c>
      <c r="AD34" s="9">
        <f t="shared" si="2"/>
        <v>2.92</v>
      </c>
    </row>
    <row r="35" ht="86.25" customHeight="1">
      <c r="A35" s="3" t="s">
        <v>25</v>
      </c>
      <c r="B35" s="3" t="s">
        <v>382</v>
      </c>
      <c r="C35" s="8" t="str">
        <f>HYPERLINK("https://www.google.com/search?tbm=isch&amp;q=Rifugio+Mario+Bezzi+refuge+bivouac+montagne+photo","🔎 Rechercher photo")</f>
        <v>🔎 Rechercher photo</v>
      </c>
      <c r="D35" s="3" t="s">
        <v>383</v>
      </c>
      <c r="E35" s="5">
        <v>2284.0</v>
      </c>
      <c r="F35" s="3" t="s">
        <v>384</v>
      </c>
      <c r="G35" s="5">
        <v>1780.0</v>
      </c>
      <c r="H35" s="3" t="s">
        <v>385</v>
      </c>
      <c r="I35" s="5">
        <v>1660.0</v>
      </c>
      <c r="J35" s="3" t="s">
        <v>111</v>
      </c>
      <c r="K35" s="5">
        <v>2.3</v>
      </c>
      <c r="L35" s="5">
        <v>624.0</v>
      </c>
      <c r="M35" s="6">
        <v>2.0</v>
      </c>
      <c r="N35" s="6">
        <v>2.0</v>
      </c>
      <c r="O35" s="6">
        <v>1.0</v>
      </c>
      <c r="P35" s="6">
        <v>4.0</v>
      </c>
      <c r="Q35" s="6">
        <v>4.0</v>
      </c>
      <c r="R35" s="7">
        <f t="shared" si="1"/>
        <v>3</v>
      </c>
      <c r="S35" s="6">
        <v>2.0</v>
      </c>
      <c r="T35" s="3" t="s">
        <v>430</v>
      </c>
      <c r="U35" s="3" t="s">
        <v>386</v>
      </c>
      <c r="V35" s="3" t="s">
        <v>387</v>
      </c>
      <c r="W35" s="4"/>
      <c r="X35" s="8" t="str">
        <f>HYPERLINK("https://www.google.com/maps/place/Rifugio+Mario+Bezzi/data=!4m2!3m1!1s0x478916ea65ef8c09:0xdcaef95bbe5bae15","Ouvrir Maps")</f>
        <v>Ouvrir Maps</v>
      </c>
      <c r="Y35" s="8" t="str">
        <f>HYPERLINK("https://www.google.com/search?tbm=isch&amp;q=Rifugio+Mario+Bezzi+refuge+bivouac+montagne+photo","Recherche photos")</f>
        <v>Recherche photos</v>
      </c>
      <c r="Z35" s="4"/>
      <c r="AA35" s="4"/>
      <c r="AB35" s="3" t="s">
        <v>50</v>
      </c>
      <c r="AC35" s="3" t="s">
        <v>63</v>
      </c>
      <c r="AD35" s="9">
        <f t="shared" si="2"/>
        <v>2.61</v>
      </c>
    </row>
    <row r="36" ht="86.25" customHeight="1">
      <c r="A36" s="3" t="s">
        <v>25</v>
      </c>
      <c r="B36" s="3" t="s">
        <v>389</v>
      </c>
      <c r="C36" s="8" t="str">
        <f>HYPERLINK("https://www.google.com/search?tbm=isch&amp;q=Rifugio+Fauniera+refuge+bivouac+montagne+photo","🔎 Rechercher photo")</f>
        <v>🔎 Rechercher photo</v>
      </c>
      <c r="D36" s="3" t="s">
        <v>390</v>
      </c>
      <c r="E36" s="5">
        <v>2305.0</v>
      </c>
      <c r="F36" s="3" t="s">
        <v>391</v>
      </c>
      <c r="G36" s="5">
        <v>2305.0</v>
      </c>
      <c r="H36" s="3" t="s">
        <v>392</v>
      </c>
      <c r="I36" s="5">
        <v>1720.0</v>
      </c>
      <c r="J36" s="3" t="s">
        <v>393</v>
      </c>
      <c r="K36" s="5">
        <v>2.2</v>
      </c>
      <c r="L36" s="5">
        <v>585.0</v>
      </c>
      <c r="M36" s="6">
        <v>2.0</v>
      </c>
      <c r="N36" s="6">
        <v>1.0</v>
      </c>
      <c r="O36" s="6">
        <v>1.0</v>
      </c>
      <c r="P36" s="6">
        <v>3.0</v>
      </c>
      <c r="Q36" s="6">
        <v>4.0</v>
      </c>
      <c r="R36" s="7">
        <f t="shared" si="1"/>
        <v>2</v>
      </c>
      <c r="S36" s="6">
        <v>2.0</v>
      </c>
      <c r="T36" s="3" t="s">
        <v>425</v>
      </c>
      <c r="U36" s="3" t="s">
        <v>394</v>
      </c>
      <c r="V36" s="3" t="s">
        <v>395</v>
      </c>
      <c r="W36" s="4"/>
      <c r="X36" s="8" t="str">
        <f>HYPERLINK("https://www.google.com/maps/place/Rifugio+Fauniera/data=!4m2!3m1!1s0x12cd1d7b48427e09:0x5377d170a813c5e2","Ouvrir Maps")</f>
        <v>Ouvrir Maps</v>
      </c>
      <c r="Y36" s="8" t="str">
        <f>HYPERLINK("https://www.google.com/search?tbm=isch&amp;q=Rifugio+Fauniera+refuge+bivouac+montagne+photo","Recherche photos")</f>
        <v>Recherche photos</v>
      </c>
      <c r="Z36" s="10" t="s">
        <v>396</v>
      </c>
      <c r="AA36" s="4"/>
      <c r="AB36" s="3" t="s">
        <v>81</v>
      </c>
      <c r="AC36" s="3" t="s">
        <v>63</v>
      </c>
      <c r="AD36" s="9">
        <f t="shared" si="2"/>
        <v>2.39</v>
      </c>
    </row>
  </sheetData>
  <conditionalFormatting sqref="R2:R36">
    <cfRule type="colorScale" priority="1">
      <colorScale>
        <cfvo type="formula" val="1"/>
        <cfvo type="formula" val="3"/>
        <cfvo type="formula" val="5"/>
        <color rgb="FFFFE0D3"/>
        <color rgb="FFFFF7D3"/>
        <color rgb="FFCCEAD1"/>
      </colorScale>
    </cfRule>
  </conditionalFormatting>
  <dataValidations>
    <dataValidation type="list" allowBlank="1" showErrorMessage="1" sqref="M2:S36">
      <formula1>"0,1,2,3,4,5"</formula1>
    </dataValidation>
    <dataValidation type="custom" allowBlank="1" showDropDown="1" sqref="E2:E36 G2:G36 I2:I36 K2:L36">
      <formula1>AND(ISNUMBER(E2),(NOT(OR(NOT(ISERROR(DATEVALUE(E2))), AND(ISNUMBER(E2), LEFT(CELL("format", E2))="D")))))</formula1>
    </dataValidation>
    <dataValidation allowBlank="1" showDropDown="1" sqref="A2:D36 F2:F36 H2:H36 J2:J36 T2:AC36"/>
  </dataValidations>
  <hyperlinks>
    <hyperlink r:id="rId2" ref="Z3"/>
    <hyperlink r:id="rId3" ref="Z4"/>
    <hyperlink r:id="rId4" ref="Z8"/>
    <hyperlink r:id="rId5" ref="Z9"/>
    <hyperlink r:id="rId6" ref="Z12"/>
    <hyperlink r:id="rId7" ref="Z14"/>
    <hyperlink r:id="rId8" ref="Z15"/>
    <hyperlink r:id="rId9" ref="Z16"/>
    <hyperlink r:id="rId10" ref="Z18"/>
    <hyperlink r:id="rId11" ref="AA22"/>
    <hyperlink r:id="rId12" ref="Z24"/>
    <hyperlink r:id="rId13" ref="Z29"/>
    <hyperlink r:id="rId14" ref="AA29"/>
    <hyperlink r:id="rId15" ref="Z31"/>
    <hyperlink r:id="rId16" ref="AA31"/>
    <hyperlink r:id="rId17" ref="Z36"/>
  </hyperlinks>
  <drawing r:id="rId18"/>
  <legacyDrawing r:id="rId19"/>
  <tableParts count="1">
    <tablePart r:id="rId21"/>
  </tableParts>
</worksheet>
</file>